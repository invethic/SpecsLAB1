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88" yWindow="588" windowWidth="21852" windowHeight="8676"/>
  </bookViews>
  <sheets>
    <sheet name="Specification" sheetId="1" r:id="rId1"/>
    <sheet name="Link Budget" sheetId="2" r:id="rId2"/>
    <sheet name="Lists" sheetId="3" r:id="rId3"/>
  </sheets>
  <definedNames>
    <definedName name="_xlnm.Print_Titles" localSheetId="0">Specification!$3:$3</definedName>
  </definedNames>
  <calcPr calcId="124519"/>
</workbook>
</file>

<file path=xl/calcChain.xml><?xml version="1.0" encoding="utf-8"?>
<calcChain xmlns="http://schemas.openxmlformats.org/spreadsheetml/2006/main">
  <c r="G44" i="2"/>
  <c r="D44"/>
  <c r="E44" s="1"/>
  <c r="G43"/>
  <c r="D43"/>
  <c r="E43" s="1"/>
  <c r="G42"/>
  <c r="D42"/>
  <c r="E42" s="1"/>
  <c r="G41"/>
  <c r="D41"/>
  <c r="E41" s="1"/>
  <c r="G40"/>
  <c r="D40"/>
  <c r="E40" s="1"/>
  <c r="G39"/>
  <c r="D39"/>
  <c r="E39" s="1"/>
  <c r="G38"/>
  <c r="D38"/>
  <c r="E38" s="1"/>
  <c r="G37"/>
  <c r="D37"/>
  <c r="E37" s="1"/>
  <c r="G36"/>
  <c r="D36"/>
  <c r="E36" s="1"/>
  <c r="G35"/>
  <c r="D35"/>
  <c r="E35" s="1"/>
  <c r="G34"/>
  <c r="D34"/>
  <c r="E34" s="1"/>
  <c r="G33"/>
  <c r="D33"/>
  <c r="E33" s="1"/>
  <c r="G32"/>
  <c r="D32"/>
  <c r="E32" s="1"/>
  <c r="G31"/>
  <c r="D31"/>
  <c r="E31" s="1"/>
  <c r="G30"/>
  <c r="D30"/>
  <c r="E30" s="1"/>
  <c r="G29"/>
  <c r="D29"/>
  <c r="E29" s="1"/>
  <c r="G28"/>
  <c r="D28"/>
  <c r="E28" s="1"/>
  <c r="G27"/>
  <c r="D27"/>
  <c r="E27" s="1"/>
  <c r="G26"/>
  <c r="D26"/>
  <c r="E26" s="1"/>
  <c r="G25"/>
  <c r="D25"/>
  <c r="E25" s="1"/>
  <c r="G24"/>
  <c r="D24"/>
  <c r="E24" s="1"/>
  <c r="G23"/>
  <c r="D23"/>
  <c r="E23" s="1"/>
  <c r="G22"/>
  <c r="D22"/>
  <c r="E22" s="1"/>
  <c r="G21"/>
  <c r="D21"/>
  <c r="E21" s="1"/>
  <c r="G20"/>
  <c r="D20"/>
  <c r="E20" s="1"/>
  <c r="G19"/>
  <c r="D19"/>
  <c r="E19" s="1"/>
  <c r="G18"/>
  <c r="D18"/>
  <c r="E18" s="1"/>
  <c r="G17"/>
  <c r="D17"/>
  <c r="E17" s="1"/>
  <c r="G16"/>
  <c r="D16"/>
  <c r="E16" s="1"/>
  <c r="G15"/>
  <c r="D15"/>
  <c r="E15" s="1"/>
  <c r="B15"/>
  <c r="G14"/>
  <c r="F14"/>
  <c r="E14"/>
  <c r="D14"/>
  <c r="G13"/>
  <c r="D13"/>
  <c r="E13" s="1"/>
  <c r="G12"/>
  <c r="D12"/>
  <c r="E12" s="1"/>
  <c r="G11"/>
  <c r="D11"/>
  <c r="E11" s="1"/>
  <c r="G10"/>
  <c r="D10"/>
  <c r="E10" s="1"/>
  <c r="G9"/>
  <c r="D9"/>
  <c r="E9" s="1"/>
  <c r="G8"/>
  <c r="D8"/>
  <c r="E8" s="1"/>
  <c r="G7"/>
  <c r="D7"/>
  <c r="E7" s="1"/>
  <c r="G6"/>
  <c r="D6"/>
  <c r="E6" s="1"/>
  <c r="G5"/>
  <c r="D5"/>
  <c r="E5" s="1"/>
  <c r="G4"/>
  <c r="D4"/>
  <c r="E4" s="1"/>
  <c r="B4"/>
  <c r="B76" i="1"/>
  <c r="B75"/>
  <c r="B74"/>
  <c r="C60"/>
  <c r="C13"/>
  <c r="F15" i="2" l="1"/>
  <c r="F5"/>
  <c r="F7"/>
  <c r="F9"/>
  <c r="F11"/>
  <c r="F13"/>
  <c r="F16"/>
  <c r="F18"/>
  <c r="F20"/>
  <c r="F22"/>
  <c r="F24"/>
  <c r="F26"/>
  <c r="F28"/>
  <c r="F30"/>
  <c r="F32"/>
  <c r="F34"/>
  <c r="F36"/>
  <c r="F38"/>
  <c r="F40"/>
  <c r="F42"/>
  <c r="F44"/>
  <c r="F4"/>
  <c r="F6"/>
  <c r="F8"/>
  <c r="F10"/>
  <c r="F12"/>
  <c r="F17"/>
  <c r="F19"/>
  <c r="F21"/>
  <c r="F23"/>
  <c r="F25"/>
  <c r="F27"/>
  <c r="F29"/>
  <c r="F31"/>
  <c r="F33"/>
  <c r="F35"/>
  <c r="F37"/>
  <c r="F39"/>
  <c r="F41"/>
  <c r="F43"/>
  <c r="B14"/>
  <c r="B16" s="1"/>
</calcChain>
</file>

<file path=xl/sharedStrings.xml><?xml version="1.0" encoding="utf-8"?>
<sst xmlns="http://schemas.openxmlformats.org/spreadsheetml/2006/main" count="322" uniqueCount="310">
  <si>
    <t>RADIO ELECTRONIC SYSTEMS — Technical Specification</t>
  </si>
  <si>
    <t>Yellow cells = input. Drop-downs from the 'Lists' sheet. Blue links update automatically from your entries.</t>
  </si>
  <si>
    <t>Parameter</t>
  </si>
  <si>
    <t>Value</t>
  </si>
  <si>
    <t>Example / Help</t>
  </si>
  <si>
    <t>PROJECT INFORMATION</t>
  </si>
  <si>
    <t>Project Name</t>
  </si>
  <si>
    <t>e.g. VHF System</t>
  </si>
  <si>
    <t>Designer</t>
  </si>
  <si>
    <t>Date</t>
  </si>
  <si>
    <t>Version</t>
  </si>
  <si>
    <t>1.0</t>
  </si>
  <si>
    <t>e.g. 1.0</t>
  </si>
  <si>
    <t>1. GENERAL SPECIFICATIONS</t>
  </si>
  <si>
    <t>System Type</t>
  </si>
  <si>
    <t>e.g. Transceiver</t>
  </si>
  <si>
    <t>Device Category</t>
  </si>
  <si>
    <t>CEPT Rec. 70-03 Annex</t>
  </si>
  <si>
    <t>Station Type</t>
  </si>
  <si>
    <t>Suggestions in the list, free text accepted</t>
  </si>
  <si>
    <t>Application</t>
  </si>
  <si>
    <t>e.g. Commercial — also drives the Genorma search link (section 9)</t>
  </si>
  <si>
    <t>Intended Use</t>
  </si>
  <si>
    <t>e.g. WiFi Router, IoT Gateway</t>
  </si>
  <si>
    <t>Main Target Market</t>
  </si>
  <si>
    <t>e.g. France — drives the market access link (one country works best)</t>
  </si>
  <si>
    <t>Operating Mode</t>
  </si>
  <si>
    <t>2. FREQUENCY SPECIFICATIONS</t>
  </si>
  <si>
    <t>EFIS database</t>
  </si>
  <si>
    <t>→ Open EFIS (ECO Frequency Information System)</t>
  </si>
  <si>
    <t>Check band allocation per country</t>
  </si>
  <si>
    <t>Frequency Range</t>
  </si>
  <si>
    <t>e.g. 144-148 MHz</t>
  </si>
  <si>
    <t>Center Frequency</t>
  </si>
  <si>
    <t>e.g. 146 MHz</t>
  </si>
  <si>
    <t>Channel Spacing</t>
  </si>
  <si>
    <t>e.g. 25 kHz</t>
  </si>
  <si>
    <t>Bandwidth</t>
  </si>
  <si>
    <t>e.g. 16 kHz</t>
  </si>
  <si>
    <t>EFIS Verified</t>
  </si>
  <si>
    <t>No</t>
  </si>
  <si>
    <t>EFIS Notes</t>
  </si>
  <si>
    <t>3. TRANSMITTER SPECIFICATIONS</t>
  </si>
  <si>
    <t>Output Power</t>
  </si>
  <si>
    <t>e.g. 5 W</t>
  </si>
  <si>
    <t>Frequency Stability</t>
  </si>
  <si>
    <t>e.g. ±2.5 ppm</t>
  </si>
  <si>
    <t>Spurious Emission</t>
  </si>
  <si>
    <t>e.g. &lt; -60 dBc</t>
  </si>
  <si>
    <t>Modulation</t>
  </si>
  <si>
    <t>4. RECEIVER SPECIFICATIONS</t>
  </si>
  <si>
    <t>Sensitivity</t>
  </si>
  <si>
    <t>e.g. -120 dBm</t>
  </si>
  <si>
    <t>Selectivity</t>
  </si>
  <si>
    <t>e.g. &gt; 70 dB</t>
  </si>
  <si>
    <t>Noise Figure</t>
  </si>
  <si>
    <t>e.g. &lt; 5 dB</t>
  </si>
  <si>
    <t>Dynamic Range</t>
  </si>
  <si>
    <t>e.g. 90 dB</t>
  </si>
  <si>
    <t>5. ANTENNA SPECIFICATIONS</t>
  </si>
  <si>
    <t>Implementation Type</t>
  </si>
  <si>
    <t>Type</t>
  </si>
  <si>
    <t>e.g. Dipole</t>
  </si>
  <si>
    <t>Gain</t>
  </si>
  <si>
    <t>e.g. 2.15 dBi</t>
  </si>
  <si>
    <t>VSWR</t>
  </si>
  <si>
    <t>e.g. &lt; 1.5:1</t>
  </si>
  <si>
    <t>Polarization</t>
  </si>
  <si>
    <t>6. FEATURES &amp; CHARACTERISTICS</t>
  </si>
  <si>
    <t>Input Voltage</t>
  </si>
  <si>
    <t>e.g. 13.8 V DC</t>
  </si>
  <si>
    <t>Power Consumption</t>
  </si>
  <si>
    <t>e.g. RX: 1.5 A, TX: 10 A</t>
  </si>
  <si>
    <t>Temperature Range</t>
  </si>
  <si>
    <t>e.g. -20 °C to +60 °C</t>
  </si>
  <si>
    <t>Humidity</t>
  </si>
  <si>
    <t>e.g. 5 % to 95 % RH</t>
  </si>
  <si>
    <t>Dimensions</t>
  </si>
  <si>
    <t>e.g. 200×100×250 mm</t>
  </si>
  <si>
    <t>Weight</t>
  </si>
  <si>
    <t>e.g. 2.5 kg</t>
  </si>
  <si>
    <t>7. RF CHIPSET</t>
  </si>
  <si>
    <t>Manufacturer</t>
  </si>
  <si>
    <t>Model</t>
  </si>
  <si>
    <t>e.g. nRF52840, SIM7028</t>
  </si>
  <si>
    <t>Details</t>
  </si>
  <si>
    <t>Integrated PA, protocol support, etc.</t>
  </si>
  <si>
    <t>Application Note URL</t>
  </si>
  <si>
    <t>FCC-ID (chipset / radio module)</t>
  </si>
  <si>
    <t>e.g. 2AJYU-8EC0002 — drives the FCC report link (section 9)</t>
  </si>
  <si>
    <t>8. CYBERSECURITY</t>
  </si>
  <si>
    <t>Common standards: IEC 62443-3/-4 (Industrial security) • EN 18031-1/-2/-3 (Consumer IoT security) • ETSI EN 303 645 • ISO/IEC 27001 — pick one per row, free text accepted</t>
  </si>
  <si>
    <t>Applicable CyberSecurity Standard — 1</t>
  </si>
  <si>
    <t>Drop-down list, values editable in 'Lists' sheet</t>
  </si>
  <si>
    <t>Applicable CyberSecurity Standard — 2</t>
  </si>
  <si>
    <t>Applicable CyberSecurity Standard — 3</t>
  </si>
  <si>
    <t>Applicable CyberSecurity Standard — 4</t>
  </si>
  <si>
    <t>Applicable CyberSecurity Standard — 5</t>
  </si>
  <si>
    <t>Applicable CyberSecurity Standard — 6</t>
  </si>
  <si>
    <t>CyberSecurity Notes</t>
  </si>
  <si>
    <t>Scope, security level (SL), conformity assessment route…</t>
  </si>
  <si>
    <t>9. STANDARDS &amp; CERTIFICATIONS</t>
  </si>
  <si>
    <t>Genorma standards search</t>
  </si>
  <si>
    <t>Built from the Application field</t>
  </si>
  <si>
    <t>Market access (360compliance)</t>
  </si>
  <si>
    <t>Built from the Main Target Market field</t>
  </si>
  <si>
    <t>FCC ID report</t>
  </si>
  <si>
    <t>Built from the FCC-ID field</t>
  </si>
  <si>
    <t>One standard per row — pick from the drop-down or type freely. Add your own values in the 'Lists' sheet; change the slot count in MULTI(..., n) in the script.</t>
  </si>
  <si>
    <t>IEC (Safety) — 1</t>
  </si>
  <si>
    <t>IEC (Safety) — 2</t>
  </si>
  <si>
    <t>IEC (EMC) — 1</t>
  </si>
  <si>
    <t>IEC (EMC) — 2</t>
  </si>
  <si>
    <t>IEC (EMC) — 3</t>
  </si>
  <si>
    <t>CENELEC (Safety) — 1</t>
  </si>
  <si>
    <t>CENELEC (Safety) — 2</t>
  </si>
  <si>
    <t>CENELEC (Safety) — 3</t>
  </si>
  <si>
    <t>CENELEC (EMC) — 1</t>
  </si>
  <si>
    <t>CENELEC (EMC) — 2</t>
  </si>
  <si>
    <t>CENELEC (EMC) — 3</t>
  </si>
  <si>
    <t>ETSI — 1</t>
  </si>
  <si>
    <t>ETSI — 2</t>
  </si>
  <si>
    <t>ETSI — 3</t>
  </si>
  <si>
    <t>ETSI — 4</t>
  </si>
  <si>
    <t>IEEE — 1</t>
  </si>
  <si>
    <t>IEEE — 2</t>
  </si>
  <si>
    <t>3GPP — 1</t>
  </si>
  <si>
    <t>3GPP — 2</t>
  </si>
  <si>
    <t>Certification — 1</t>
  </si>
  <si>
    <t>Certification — 2</t>
  </si>
  <si>
    <t>Certification — 3</t>
  </si>
  <si>
    <t>Certification — 4</t>
  </si>
  <si>
    <t>10. SAR SAFETY</t>
  </si>
  <si>
    <t>SAR measures RF energy absorption (EU: 2 W/kg head/body, 4 W/kg limbs; USA: 1.6 W/kg head/body)</t>
  </si>
  <si>
    <t>Foreseeable use: Head contact</t>
  </si>
  <si>
    <t>Foreseeable use: Body contact</t>
  </si>
  <si>
    <t>Foreseeable use: Arms/Legs contact</t>
  </si>
  <si>
    <t>SAR Limit</t>
  </si>
  <si>
    <t>SAR Notes</t>
  </si>
  <si>
    <t>11. USE CASES</t>
  </si>
  <si>
    <t>Use Case 1</t>
  </si>
  <si>
    <t>e.g. Home user connects multiple devices to internet via WiFi</t>
  </si>
  <si>
    <t>Use Case 2</t>
  </si>
  <si>
    <t>e.g. Small business office network with 20+ devices</t>
  </si>
  <si>
    <t>Use Case 3</t>
  </si>
  <si>
    <t>e.g. IoT sensor network for industrial monitoring</t>
  </si>
  <si>
    <t>12. FUNCTIONAL REQUIREMENTS</t>
  </si>
  <si>
    <t>Main Requirement 1</t>
  </si>
  <si>
    <t>e.g. Network Connectivity</t>
  </si>
  <si>
    <t xml:space="preserve">      1.1 Sub-requirement</t>
  </si>
  <si>
    <t>e.g. Support 2.4 GHz WiFi</t>
  </si>
  <si>
    <t xml:space="preserve">      1.2 Sub-requirement</t>
  </si>
  <si>
    <t>e.g. Support 5 GHz WiFi</t>
  </si>
  <si>
    <t>Main Requirement 2</t>
  </si>
  <si>
    <t>e.g. Data Throughput</t>
  </si>
  <si>
    <t xml:space="preserve">      2.1 Sub-requirement</t>
  </si>
  <si>
    <t>e.g. Minimum 100 Mbps</t>
  </si>
  <si>
    <t xml:space="preserve">      2.2 Sub-requirement</t>
  </si>
  <si>
    <t>e.g. Maximum latency 50 ms</t>
  </si>
  <si>
    <t>Main Requirement 3</t>
  </si>
  <si>
    <t>e.g. Security Features</t>
  </si>
  <si>
    <t xml:space="preserve">      3.1 Sub-requirement</t>
  </si>
  <si>
    <t>e.g. WPA3 encryption</t>
  </si>
  <si>
    <t xml:space="preserve">      3.2 Sub-requirement</t>
  </si>
  <si>
    <t>e.g. Firewall enabled</t>
  </si>
  <si>
    <t>LINK BUDGET — free-space model + radio horizon</t>
  </si>
  <si>
    <t>TX output power (W)</t>
  </si>
  <si>
    <t>Distance (km)</t>
  </si>
  <si>
    <t>FSPL (dB)</t>
  </si>
  <si>
    <t>RX power (dBm)</t>
  </si>
  <si>
    <t>Sens. + margin (dBm)</t>
  </si>
  <si>
    <t>TX output power (dBm)</t>
  </si>
  <si>
    <t>TX antenna gain (dBi)</t>
  </si>
  <si>
    <t>RX antenna gain (dBi)</t>
  </si>
  <si>
    <t>Cable / other losses (dB)</t>
  </si>
  <si>
    <t>RX sensitivity (dBm)</t>
  </si>
  <si>
    <t>Frequency (MHz)</t>
  </si>
  <si>
    <t>Fade margin (dB)</t>
  </si>
  <si>
    <t>TX antenna height (m)</t>
  </si>
  <si>
    <t>RX antenna height (m)</t>
  </si>
  <si>
    <t>Max free-space range (km)</t>
  </si>
  <si>
    <t>Radio horizon (km)</t>
  </si>
  <si>
    <t>Estimated max range (km)</t>
  </si>
  <si>
    <t>Free-space loss is optimistic: at VHF/UHF the range is usually limited by the radio horizon, terrain and buildings. Use the estimate as an upper bound.</t>
  </si>
  <si>
    <t>DeviceCategory</t>
  </si>
  <si>
    <t>CEPTAnnex</t>
  </si>
  <si>
    <t>AntennaImpl</t>
  </si>
  <si>
    <t>ChipsetMfr</t>
  </si>
  <si>
    <t>SARLimit</t>
  </si>
  <si>
    <t>YesNo</t>
  </si>
  <si>
    <t>StationType</t>
  </si>
  <si>
    <t>OperatingMode</t>
  </si>
  <si>
    <t>IEC_Safety</t>
  </si>
  <si>
    <t>IEC_EMC</t>
  </si>
  <si>
    <t>CENELEC_Safety</t>
  </si>
  <si>
    <t>CENELEC_EMC</t>
  </si>
  <si>
    <t>ETSI</t>
  </si>
  <si>
    <t>IEEE</t>
  </si>
  <si>
    <t>3GPP</t>
  </si>
  <si>
    <t>Certifications</t>
  </si>
  <si>
    <t>CyberSec</t>
  </si>
  <si>
    <t>Short Range Device (SRD)</t>
  </si>
  <si>
    <t>Annex 1: Non-specific SRD</t>
  </si>
  <si>
    <t>Antenna Connector</t>
  </si>
  <si>
    <t>Nordic</t>
  </si>
  <si>
    <t>2.0 W/kg EU Head/Body</t>
  </si>
  <si>
    <t>Yes</t>
  </si>
  <si>
    <t>End-User Terminal</t>
  </si>
  <si>
    <t>Simplex</t>
  </si>
  <si>
    <t>FM</t>
  </si>
  <si>
    <t>Vertical</t>
  </si>
  <si>
    <t>IEC 62368-1</t>
  </si>
  <si>
    <t>IEC 61000-6-1</t>
  </si>
  <si>
    <t>EN 62368-1</t>
  </si>
  <si>
    <t>EN 55032</t>
  </si>
  <si>
    <t>ETSI EN 301 489-1</t>
  </si>
  <si>
    <t>IEEE 802.11</t>
  </si>
  <si>
    <t>3GPP TS 36.101</t>
  </si>
  <si>
    <t>CE (RED)</t>
  </si>
  <si>
    <t>IEC 62443-3-2</t>
  </si>
  <si>
    <t>Cellular</t>
  </si>
  <si>
    <t>Annex 2: Tracking, Tracing &amp; Data Acquisition</t>
  </si>
  <si>
    <t>PCB Printed Antenna</t>
  </si>
  <si>
    <t>Espressif</t>
  </si>
  <si>
    <t>4.0 W/kg EU Limbs</t>
  </si>
  <si>
    <t>Base Station</t>
  </si>
  <si>
    <t>Half-duplex</t>
  </si>
  <si>
    <t>AM</t>
  </si>
  <si>
    <t>Horizontal</t>
  </si>
  <si>
    <t>IEC 60950-1</t>
  </si>
  <si>
    <t>IEC 61000-6-2</t>
  </si>
  <si>
    <t>EN 62311</t>
  </si>
  <si>
    <t>EN 55035</t>
  </si>
  <si>
    <t>ETSI EN 301 489-3</t>
  </si>
  <si>
    <t>IEEE 802.15.1</t>
  </si>
  <si>
    <t>3GPP TS 24.301</t>
  </si>
  <si>
    <t>FCC</t>
  </si>
  <si>
    <t>IEC 62443-3-3</t>
  </si>
  <si>
    <t>Satellite</t>
  </si>
  <si>
    <t>Annex 3: Wideband Data Transmission</t>
  </si>
  <si>
    <t>Chipset Recommended</t>
  </si>
  <si>
    <t>Texas Instruments</t>
  </si>
  <si>
    <t>1.6 W/kg USA Head/Body</t>
  </si>
  <si>
    <t>Repeater</t>
  </si>
  <si>
    <t>Full-duplex</t>
  </si>
  <si>
    <t>OOK/ASK</t>
  </si>
  <si>
    <t>Circular (RHCP)</t>
  </si>
  <si>
    <t>IEC 61010-1</t>
  </si>
  <si>
    <t>IEC 61000-6-3</t>
  </si>
  <si>
    <t>EN 62479</t>
  </si>
  <si>
    <t>EN 61000-6-1</t>
  </si>
  <si>
    <t>ETSI EN 301 489-17</t>
  </si>
  <si>
    <t>IEEE 802.15.4</t>
  </si>
  <si>
    <t>3GPP TS 38.101</t>
  </si>
  <si>
    <t>IC (ISED)</t>
  </si>
  <si>
    <t>IEC 62443-4-1</t>
  </si>
  <si>
    <t>Other</t>
  </si>
  <si>
    <t>Annex 4: Alarms</t>
  </si>
  <si>
    <t>Custom Design</t>
  </si>
  <si>
    <t>STMicroelectronics</t>
  </si>
  <si>
    <t>Gateway</t>
  </si>
  <si>
    <t>FSK</t>
  </si>
  <si>
    <t>Circular (LHCP)</t>
  </si>
  <si>
    <t>IEC 60601-1</t>
  </si>
  <si>
    <t>IEC 61000-6-4</t>
  </si>
  <si>
    <t>EN 50385</t>
  </si>
  <si>
    <t>EN 61000-6-2</t>
  </si>
  <si>
    <t>ETSI EN 300 328</t>
  </si>
  <si>
    <t>IEEE 802.3</t>
  </si>
  <si>
    <t>3GPP TS 36.521</t>
  </si>
  <si>
    <t>UKCA</t>
  </si>
  <si>
    <t>IEC 62443-4-2</t>
  </si>
  <si>
    <t>Annex 5: Model Control</t>
  </si>
  <si>
    <t>NXP</t>
  </si>
  <si>
    <t>Fixed Station</t>
  </si>
  <si>
    <t>GFSK</t>
  </si>
  <si>
    <t>EN 61000-6-3</t>
  </si>
  <si>
    <t>ETSI EN 300 220-1</t>
  </si>
  <si>
    <t>PTCRB</t>
  </si>
  <si>
    <t>EN 18031-1</t>
  </si>
  <si>
    <t>Annex 6: Inductive Applications</t>
  </si>
  <si>
    <t>Silicon Labs</t>
  </si>
  <si>
    <t>Mobile Station</t>
  </si>
  <si>
    <t>LoRa (CSS)</t>
  </si>
  <si>
    <t>EN 61000-6-4</t>
  </si>
  <si>
    <t>ETSI EN 300 220-2</t>
  </si>
  <si>
    <t>GCF</t>
  </si>
  <si>
    <t>EN 18031-2</t>
  </si>
  <si>
    <t>Annex 7: Active Medical Implants (Ultra Low Power)</t>
  </si>
  <si>
    <t>Quectel</t>
  </si>
  <si>
    <t>BPSK</t>
  </si>
  <si>
    <t>ETSI EN 301 893</t>
  </si>
  <si>
    <t>TELEC (MIC)</t>
  </si>
  <si>
    <t>EN 18031-3</t>
  </si>
  <si>
    <t>Annex 8: RFID</t>
  </si>
  <si>
    <t>Simcom</t>
  </si>
  <si>
    <t>QPSK</t>
  </si>
  <si>
    <t>ETSI EN 303 645</t>
  </si>
  <si>
    <t>SRRC</t>
  </si>
  <si>
    <t>Annex 9: Radiodetermination Applications</t>
  </si>
  <si>
    <t>u-blox</t>
  </si>
  <si>
    <t>16-QAM</t>
  </si>
  <si>
    <t>ISO/IEC 27001</t>
  </si>
  <si>
    <t>Annex 10: Ultra Wideband (UWB)</t>
  </si>
  <si>
    <t>64-QAM</t>
  </si>
  <si>
    <t>Annex 11: Road Transport Telematics (RTT)</t>
  </si>
  <si>
    <t>OFDM</t>
  </si>
  <si>
    <t>Annex 12: Tank Level Probing Radar (TLPR)</t>
  </si>
  <si>
    <t>Annex 13: Wireless Audio Applications</t>
  </si>
  <si>
    <t>Add new values at the bottom of a column: drop-downs update automatically.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</si>
</sst>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6B7280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374151"/>
      <name val="Calibri"/>
    </font>
    <font>
      <b/>
      <u/>
      <sz val="11"/>
      <color rgb="FF2563EB"/>
      <name val="Calibri"/>
    </font>
    <font>
      <i/>
      <sz val="10"/>
      <color rgb="FF374151"/>
      <name val="Calibri"/>
    </font>
    <font>
      <b/>
      <sz val="14"/>
      <color rgb="FFFFFFFF"/>
      <name val="Calibri"/>
    </font>
    <font>
      <b/>
      <sz val="11"/>
      <color rgb="FF1E40AF"/>
      <name val="Calibri"/>
    </font>
    <font>
      <b/>
      <sz val="11"/>
      <color rgb="FF059669"/>
      <name val="Calibri"/>
    </font>
    <font>
      <b/>
      <sz val="12"/>
      <color rgb="FF059669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12E81"/>
      </patternFill>
    </fill>
    <fill>
      <patternFill patternType="solid">
        <fgColor rgb="FF4B5563"/>
      </patternFill>
    </fill>
    <fill>
      <patternFill patternType="solid">
        <fgColor rgb="FFFFFBEB"/>
      </patternFill>
    </fill>
    <fill>
      <patternFill patternType="solid">
        <fgColor rgb="FF2563EB"/>
      </patternFill>
    </fill>
    <fill>
      <patternFill patternType="solid">
        <fgColor rgb="FFDC2626"/>
      </patternFill>
    </fill>
    <fill>
      <patternFill patternType="solid">
        <fgColor rgb="FFCA8A04"/>
      </patternFill>
    </fill>
    <fill>
      <patternFill patternType="solid">
        <fgColor rgb="FFDB2777"/>
      </patternFill>
    </fill>
    <fill>
      <patternFill patternType="solid">
        <fgColor rgb="FF0891B2"/>
      </patternFill>
    </fill>
    <fill>
      <patternFill patternType="solid">
        <fgColor rgb="FF0D9488"/>
      </patternFill>
    </fill>
    <fill>
      <patternFill patternType="solid">
        <fgColor rgb="FF059669"/>
      </patternFill>
    </fill>
    <fill>
      <patternFill patternType="solid">
        <fgColor rgb="FFF3F4F6"/>
      </patternFill>
    </fill>
    <fill>
      <patternFill patternType="solid">
        <fgColor rgb="FF475569"/>
      </patternFill>
    </fill>
    <fill>
      <patternFill patternType="solid">
        <fgColor rgb="FFEA580C"/>
      </patternFill>
    </fill>
    <fill>
      <patternFill patternType="solid">
        <fgColor rgb="FF4F46E5"/>
      </patternFill>
    </fill>
    <fill>
      <patternFill patternType="solid">
        <fgColor rgb="FF9333E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4" borderId="1" xfId="0" applyFont="1" applyFill="1" applyBorder="1"/>
    <xf numFmtId="0" fontId="5" fillId="0" borderId="1" xfId="0" applyFont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0" fillId="5" borderId="1" xfId="0" applyNumberForma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5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/>
    <xf numFmtId="2" fontId="0" fillId="5" borderId="1" xfId="0" applyNumberFormat="1" applyFill="1" applyBorder="1"/>
    <xf numFmtId="0" fontId="1" fillId="4" borderId="0" xfId="0" applyFont="1" applyFill="1" applyAlignment="1">
      <alignment vertical="center" wrapText="1"/>
    </xf>
    <xf numFmtId="2" fontId="9" fillId="0" borderId="1" xfId="0" applyNumberFormat="1" applyFont="1" applyBorder="1"/>
    <xf numFmtId="2" fontId="0" fillId="0" borderId="0" xfId="0" applyNumberFormat="1"/>
    <xf numFmtId="165" fontId="0" fillId="0" borderId="0" xfId="0" applyNumberFormat="1"/>
    <xf numFmtId="0" fontId="10" fillId="0" borderId="1" xfId="0" applyFont="1" applyBorder="1"/>
    <xf numFmtId="2" fontId="11" fillId="0" borderId="1" xfId="0" applyNumberFormat="1" applyFont="1" applyBorder="1"/>
    <xf numFmtId="0" fontId="1" fillId="2" borderId="0" xfId="0" applyFont="1" applyFill="1"/>
    <xf numFmtId="0" fontId="2" fillId="0" borderId="0" xfId="0" applyFont="1"/>
    <xf numFmtId="0" fontId="4" fillId="6" borderId="0" xfId="0" applyFont="1" applyFill="1" applyAlignment="1">
      <alignment vertical="center" indent="1"/>
    </xf>
    <xf numFmtId="0" fontId="0" fillId="0" borderId="0" xfId="0"/>
    <xf numFmtId="0" fontId="4" fillId="17" borderId="0" xfId="0" applyFont="1" applyFill="1" applyAlignment="1">
      <alignment vertical="center" indent="1"/>
    </xf>
    <xf numFmtId="0" fontId="4" fillId="9" borderId="0" xfId="0" applyFont="1" applyFill="1" applyAlignment="1">
      <alignment vertical="center" indent="1"/>
    </xf>
    <xf numFmtId="0" fontId="4" fillId="12" borderId="0" xfId="0" applyFont="1" applyFill="1" applyAlignment="1">
      <alignment vertical="center" indent="1"/>
    </xf>
    <xf numFmtId="0" fontId="4" fillId="15" borderId="0" xfId="0" applyFont="1" applyFill="1" applyAlignment="1">
      <alignment vertical="center" indent="1"/>
    </xf>
    <xf numFmtId="0" fontId="3" fillId="3" borderId="0" xfId="0" applyFont="1" applyFill="1" applyAlignment="1">
      <alignment horizontal="center" vertical="center"/>
    </xf>
    <xf numFmtId="0" fontId="7" fillId="13" borderId="0" xfId="0" applyFont="1" applyFill="1" applyAlignment="1">
      <alignment vertical="center" wrapText="1"/>
    </xf>
    <xf numFmtId="0" fontId="4" fillId="16" borderId="0" xfId="0" applyFont="1" applyFill="1" applyAlignment="1">
      <alignment vertical="center" indent="1"/>
    </xf>
    <xf numFmtId="0" fontId="4" fillId="11" borderId="0" xfId="0" applyFont="1" applyFill="1" applyAlignment="1">
      <alignment vertical="center" indent="1"/>
    </xf>
    <xf numFmtId="0" fontId="4" fillId="8" borderId="0" xfId="0" applyFont="1" applyFill="1" applyAlignment="1">
      <alignment vertical="center" indent="1"/>
    </xf>
    <xf numFmtId="0" fontId="4" fillId="7" borderId="0" xfId="0" applyFont="1" applyFill="1" applyAlignment="1">
      <alignment vertical="center" indent="1"/>
    </xf>
    <xf numFmtId="0" fontId="4" fillId="2" borderId="0" xfId="0" applyFont="1" applyFill="1" applyAlignment="1">
      <alignment vertical="center" indent="1"/>
    </xf>
    <xf numFmtId="0" fontId="4" fillId="10" borderId="0" xfId="0" applyFont="1" applyFill="1" applyAlignment="1">
      <alignment vertical="center" indent="1"/>
    </xf>
    <xf numFmtId="0" fontId="4" fillId="14" borderId="0" xfId="0" applyFont="1" applyFill="1" applyAlignment="1">
      <alignment vertical="center" inden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8" fillId="3" borderId="0" xfId="0" applyFont="1" applyFill="1"/>
  </cellXfs>
  <cellStyles count="1">
    <cellStyle name="Normal" xfId="0" builtinId="0"/>
  </cellStyles>
  <dxfs count="1">
    <dxf>
      <font>
        <color rgb="FF9CA3AF"/>
      </font>
      <fill>
        <patternFill patternType="solid">
          <fgColor rgb="FFE5E7E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t>Received power vs distance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'Link Budget'!$F$3</c:f>
              <c:strCache>
                <c:ptCount val="1"/>
                <c:pt idx="0">
                  <c:v>RX power (dBm)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'Link Budget'!$D$4:$D$44</c:f>
              <c:numCache>
                <c:formatCode>0.00</c:formatCode>
                <c:ptCount val="41"/>
                <c:pt idx="0">
                  <c:v>0.1</c:v>
                </c:pt>
                <c:pt idx="1">
                  <c:v>0.12589254117941667</c:v>
                </c:pt>
                <c:pt idx="2">
                  <c:v>0.15848931924611132</c:v>
                </c:pt>
                <c:pt idx="3">
                  <c:v>0.19952623149688795</c:v>
                </c:pt>
                <c:pt idx="4">
                  <c:v>0.25118864315095801</c:v>
                </c:pt>
                <c:pt idx="5">
                  <c:v>0.31622776601683794</c:v>
                </c:pt>
                <c:pt idx="6">
                  <c:v>0.39810717055349731</c:v>
                </c:pt>
                <c:pt idx="7">
                  <c:v>0.50118723362727235</c:v>
                </c:pt>
                <c:pt idx="8">
                  <c:v>0.63095734448019325</c:v>
                </c:pt>
                <c:pt idx="9">
                  <c:v>0.7943282347242816</c:v>
                </c:pt>
                <c:pt idx="10">
                  <c:v>1</c:v>
                </c:pt>
                <c:pt idx="11">
                  <c:v>1.2589254117941675</c:v>
                </c:pt>
                <c:pt idx="12">
                  <c:v>1.5848931924611143</c:v>
                </c:pt>
                <c:pt idx="13">
                  <c:v>1.99526231496888</c:v>
                </c:pt>
                <c:pt idx="14">
                  <c:v>2.511886431509581</c:v>
                </c:pt>
                <c:pt idx="15">
                  <c:v>3.1622776601683795</c:v>
                </c:pt>
                <c:pt idx="16">
                  <c:v>3.9810717055349736</c:v>
                </c:pt>
                <c:pt idx="17">
                  <c:v>5.0118723362727264</c:v>
                </c:pt>
                <c:pt idx="18">
                  <c:v>6.3095734448019343</c:v>
                </c:pt>
                <c:pt idx="19">
                  <c:v>7.9432823472428176</c:v>
                </c:pt>
                <c:pt idx="20">
                  <c:v>10</c:v>
                </c:pt>
                <c:pt idx="21">
                  <c:v>12.58925411794168</c:v>
                </c:pt>
                <c:pt idx="22">
                  <c:v>15.848931924611144</c:v>
                </c:pt>
                <c:pt idx="23">
                  <c:v>19.952623149688815</c:v>
                </c:pt>
                <c:pt idx="24">
                  <c:v>25.118864315095834</c:v>
                </c:pt>
                <c:pt idx="25">
                  <c:v>31.622776601683803</c:v>
                </c:pt>
                <c:pt idx="26">
                  <c:v>39.810717055349755</c:v>
                </c:pt>
                <c:pt idx="27">
                  <c:v>50.118723362727259</c:v>
                </c:pt>
                <c:pt idx="28">
                  <c:v>63.095734448019364</c:v>
                </c:pt>
                <c:pt idx="29">
                  <c:v>79.432823472428254</c:v>
                </c:pt>
                <c:pt idx="30">
                  <c:v>100</c:v>
                </c:pt>
                <c:pt idx="31">
                  <c:v>125.89254117941677</c:v>
                </c:pt>
                <c:pt idx="32">
                  <c:v>158.48931924611153</c:v>
                </c:pt>
                <c:pt idx="33">
                  <c:v>199.52623149688819</c:v>
                </c:pt>
                <c:pt idx="34">
                  <c:v>251.18864315095828</c:v>
                </c:pt>
                <c:pt idx="35">
                  <c:v>316.22776601683825</c:v>
                </c:pt>
                <c:pt idx="36">
                  <c:v>398.10717055349761</c:v>
                </c:pt>
                <c:pt idx="37">
                  <c:v>501.18723362727269</c:v>
                </c:pt>
                <c:pt idx="38">
                  <c:v>630.9573444801938</c:v>
                </c:pt>
                <c:pt idx="39">
                  <c:v>794.32823472428277</c:v>
                </c:pt>
                <c:pt idx="40">
                  <c:v>1000</c:v>
                </c:pt>
              </c:numCache>
            </c:numRef>
          </c:xVal>
          <c:yVal>
            <c:numRef>
              <c:f>'Link Budget'!$F$4:$F$44</c:f>
              <c:numCache>
                <c:formatCode>0.0</c:formatCode>
                <c:ptCount val="41"/>
                <c:pt idx="0">
                  <c:v>-14.447357072328558</c:v>
                </c:pt>
                <c:pt idx="1">
                  <c:v>-16.447357072328558</c:v>
                </c:pt>
                <c:pt idx="2">
                  <c:v>-18.447357072328558</c:v>
                </c:pt>
                <c:pt idx="3">
                  <c:v>-20.447357072328558</c:v>
                </c:pt>
                <c:pt idx="4">
                  <c:v>-22.447357072328558</c:v>
                </c:pt>
                <c:pt idx="5">
                  <c:v>-24.447357072328558</c:v>
                </c:pt>
                <c:pt idx="6">
                  <c:v>-26.447357072328558</c:v>
                </c:pt>
                <c:pt idx="7">
                  <c:v>-28.447357072328558</c:v>
                </c:pt>
                <c:pt idx="8">
                  <c:v>-30.447357072328558</c:v>
                </c:pt>
                <c:pt idx="9">
                  <c:v>-32.447357072328558</c:v>
                </c:pt>
                <c:pt idx="10">
                  <c:v>-34.447357072328558</c:v>
                </c:pt>
                <c:pt idx="11">
                  <c:v>-36.447357072328558</c:v>
                </c:pt>
                <c:pt idx="12">
                  <c:v>-38.447357072328558</c:v>
                </c:pt>
                <c:pt idx="13">
                  <c:v>-40.447357072328558</c:v>
                </c:pt>
                <c:pt idx="14">
                  <c:v>-42.447357072328558</c:v>
                </c:pt>
                <c:pt idx="15">
                  <c:v>-44.447357072328558</c:v>
                </c:pt>
                <c:pt idx="16">
                  <c:v>-46.447357072328558</c:v>
                </c:pt>
                <c:pt idx="17">
                  <c:v>-48.447357072328558</c:v>
                </c:pt>
                <c:pt idx="18">
                  <c:v>-50.447357072328558</c:v>
                </c:pt>
                <c:pt idx="19">
                  <c:v>-52.447357072328558</c:v>
                </c:pt>
                <c:pt idx="20">
                  <c:v>-54.447357072328558</c:v>
                </c:pt>
                <c:pt idx="21">
                  <c:v>-56.447357072328558</c:v>
                </c:pt>
                <c:pt idx="22">
                  <c:v>-58.447357072328558</c:v>
                </c:pt>
                <c:pt idx="23">
                  <c:v>-60.447357072328572</c:v>
                </c:pt>
                <c:pt idx="24">
                  <c:v>-62.447357072328572</c:v>
                </c:pt>
                <c:pt idx="25">
                  <c:v>-64.447357072328558</c:v>
                </c:pt>
                <c:pt idx="26">
                  <c:v>-66.447357072328558</c:v>
                </c:pt>
                <c:pt idx="27">
                  <c:v>-68.447357072328558</c:v>
                </c:pt>
                <c:pt idx="28">
                  <c:v>-70.447357072328558</c:v>
                </c:pt>
                <c:pt idx="29">
                  <c:v>-72.447357072328572</c:v>
                </c:pt>
                <c:pt idx="30">
                  <c:v>-74.447357072328558</c:v>
                </c:pt>
                <c:pt idx="31">
                  <c:v>-76.447357072328558</c:v>
                </c:pt>
                <c:pt idx="32">
                  <c:v>-78.447357072328572</c:v>
                </c:pt>
                <c:pt idx="33">
                  <c:v>-80.447357072328572</c:v>
                </c:pt>
                <c:pt idx="34">
                  <c:v>-82.447357072328558</c:v>
                </c:pt>
                <c:pt idx="35">
                  <c:v>-84.447357072328558</c:v>
                </c:pt>
                <c:pt idx="36">
                  <c:v>-86.447357072328572</c:v>
                </c:pt>
                <c:pt idx="37">
                  <c:v>-88.447357072328558</c:v>
                </c:pt>
                <c:pt idx="38">
                  <c:v>-90.447357072328558</c:v>
                </c:pt>
                <c:pt idx="39">
                  <c:v>-92.447357072328558</c:v>
                </c:pt>
                <c:pt idx="40">
                  <c:v>-94.447357072328558</c:v>
                </c:pt>
              </c:numCache>
            </c:numRef>
          </c:yVal>
        </c:ser>
        <c:ser>
          <c:idx val="1"/>
          <c:order val="1"/>
          <c:tx>
            <c:strRef>
              <c:f>'Link Budget'!$G$3</c:f>
              <c:strCache>
                <c:ptCount val="1"/>
                <c:pt idx="0">
                  <c:v>Sens. + margin (dBm)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'Link Budget'!$D$4:$D$44</c:f>
              <c:numCache>
                <c:formatCode>0.00</c:formatCode>
                <c:ptCount val="41"/>
                <c:pt idx="0">
                  <c:v>0.1</c:v>
                </c:pt>
                <c:pt idx="1">
                  <c:v>0.12589254117941667</c:v>
                </c:pt>
                <c:pt idx="2">
                  <c:v>0.15848931924611132</c:v>
                </c:pt>
                <c:pt idx="3">
                  <c:v>0.19952623149688795</c:v>
                </c:pt>
                <c:pt idx="4">
                  <c:v>0.25118864315095801</c:v>
                </c:pt>
                <c:pt idx="5">
                  <c:v>0.31622776601683794</c:v>
                </c:pt>
                <c:pt idx="6">
                  <c:v>0.39810717055349731</c:v>
                </c:pt>
                <c:pt idx="7">
                  <c:v>0.50118723362727235</c:v>
                </c:pt>
                <c:pt idx="8">
                  <c:v>0.63095734448019325</c:v>
                </c:pt>
                <c:pt idx="9">
                  <c:v>0.7943282347242816</c:v>
                </c:pt>
                <c:pt idx="10">
                  <c:v>1</c:v>
                </c:pt>
                <c:pt idx="11">
                  <c:v>1.2589254117941675</c:v>
                </c:pt>
                <c:pt idx="12">
                  <c:v>1.5848931924611143</c:v>
                </c:pt>
                <c:pt idx="13">
                  <c:v>1.99526231496888</c:v>
                </c:pt>
                <c:pt idx="14">
                  <c:v>2.511886431509581</c:v>
                </c:pt>
                <c:pt idx="15">
                  <c:v>3.1622776601683795</c:v>
                </c:pt>
                <c:pt idx="16">
                  <c:v>3.9810717055349736</c:v>
                </c:pt>
                <c:pt idx="17">
                  <c:v>5.0118723362727264</c:v>
                </c:pt>
                <c:pt idx="18">
                  <c:v>6.3095734448019343</c:v>
                </c:pt>
                <c:pt idx="19">
                  <c:v>7.9432823472428176</c:v>
                </c:pt>
                <c:pt idx="20">
                  <c:v>10</c:v>
                </c:pt>
                <c:pt idx="21">
                  <c:v>12.58925411794168</c:v>
                </c:pt>
                <c:pt idx="22">
                  <c:v>15.848931924611144</c:v>
                </c:pt>
                <c:pt idx="23">
                  <c:v>19.952623149688815</c:v>
                </c:pt>
                <c:pt idx="24">
                  <c:v>25.118864315095834</c:v>
                </c:pt>
                <c:pt idx="25">
                  <c:v>31.622776601683803</c:v>
                </c:pt>
                <c:pt idx="26">
                  <c:v>39.810717055349755</c:v>
                </c:pt>
                <c:pt idx="27">
                  <c:v>50.118723362727259</c:v>
                </c:pt>
                <c:pt idx="28">
                  <c:v>63.095734448019364</c:v>
                </c:pt>
                <c:pt idx="29">
                  <c:v>79.432823472428254</c:v>
                </c:pt>
                <c:pt idx="30">
                  <c:v>100</c:v>
                </c:pt>
                <c:pt idx="31">
                  <c:v>125.89254117941677</c:v>
                </c:pt>
                <c:pt idx="32">
                  <c:v>158.48931924611153</c:v>
                </c:pt>
                <c:pt idx="33">
                  <c:v>199.52623149688819</c:v>
                </c:pt>
                <c:pt idx="34">
                  <c:v>251.18864315095828</c:v>
                </c:pt>
                <c:pt idx="35">
                  <c:v>316.22776601683825</c:v>
                </c:pt>
                <c:pt idx="36">
                  <c:v>398.10717055349761</c:v>
                </c:pt>
                <c:pt idx="37">
                  <c:v>501.18723362727269</c:v>
                </c:pt>
                <c:pt idx="38">
                  <c:v>630.9573444801938</c:v>
                </c:pt>
                <c:pt idx="39">
                  <c:v>794.32823472428277</c:v>
                </c:pt>
                <c:pt idx="40">
                  <c:v>1000</c:v>
                </c:pt>
              </c:numCache>
            </c:numRef>
          </c:xVal>
          <c:yVal>
            <c:numRef>
              <c:f>'Link Budget'!$G$4:$G$44</c:f>
              <c:numCache>
                <c:formatCode>0.0</c:formatCode>
                <c:ptCount val="41"/>
                <c:pt idx="0">
                  <c:v>-110</c:v>
                </c:pt>
                <c:pt idx="1">
                  <c:v>-110</c:v>
                </c:pt>
                <c:pt idx="2">
                  <c:v>-110</c:v>
                </c:pt>
                <c:pt idx="3">
                  <c:v>-110</c:v>
                </c:pt>
                <c:pt idx="4">
                  <c:v>-110</c:v>
                </c:pt>
                <c:pt idx="5">
                  <c:v>-110</c:v>
                </c:pt>
                <c:pt idx="6">
                  <c:v>-110</c:v>
                </c:pt>
                <c:pt idx="7">
                  <c:v>-110</c:v>
                </c:pt>
                <c:pt idx="8">
                  <c:v>-110</c:v>
                </c:pt>
                <c:pt idx="9">
                  <c:v>-110</c:v>
                </c:pt>
                <c:pt idx="10">
                  <c:v>-110</c:v>
                </c:pt>
                <c:pt idx="11">
                  <c:v>-110</c:v>
                </c:pt>
                <c:pt idx="12">
                  <c:v>-110</c:v>
                </c:pt>
                <c:pt idx="13">
                  <c:v>-110</c:v>
                </c:pt>
                <c:pt idx="14">
                  <c:v>-110</c:v>
                </c:pt>
                <c:pt idx="15">
                  <c:v>-110</c:v>
                </c:pt>
                <c:pt idx="16">
                  <c:v>-110</c:v>
                </c:pt>
                <c:pt idx="17">
                  <c:v>-110</c:v>
                </c:pt>
                <c:pt idx="18">
                  <c:v>-110</c:v>
                </c:pt>
                <c:pt idx="19">
                  <c:v>-110</c:v>
                </c:pt>
                <c:pt idx="20">
                  <c:v>-110</c:v>
                </c:pt>
                <c:pt idx="21">
                  <c:v>-110</c:v>
                </c:pt>
                <c:pt idx="22">
                  <c:v>-110</c:v>
                </c:pt>
                <c:pt idx="23">
                  <c:v>-110</c:v>
                </c:pt>
                <c:pt idx="24">
                  <c:v>-110</c:v>
                </c:pt>
                <c:pt idx="25">
                  <c:v>-110</c:v>
                </c:pt>
                <c:pt idx="26">
                  <c:v>-110</c:v>
                </c:pt>
                <c:pt idx="27">
                  <c:v>-110</c:v>
                </c:pt>
                <c:pt idx="28">
                  <c:v>-110</c:v>
                </c:pt>
                <c:pt idx="29">
                  <c:v>-110</c:v>
                </c:pt>
                <c:pt idx="30">
                  <c:v>-110</c:v>
                </c:pt>
                <c:pt idx="31">
                  <c:v>-110</c:v>
                </c:pt>
                <c:pt idx="32">
                  <c:v>-110</c:v>
                </c:pt>
                <c:pt idx="33">
                  <c:v>-110</c:v>
                </c:pt>
                <c:pt idx="34">
                  <c:v>-110</c:v>
                </c:pt>
                <c:pt idx="35">
                  <c:v>-110</c:v>
                </c:pt>
                <c:pt idx="36">
                  <c:v>-110</c:v>
                </c:pt>
                <c:pt idx="37">
                  <c:v>-110</c:v>
                </c:pt>
                <c:pt idx="38">
                  <c:v>-110</c:v>
                </c:pt>
                <c:pt idx="39">
                  <c:v>-110</c:v>
                </c:pt>
                <c:pt idx="40">
                  <c:v>-110</c:v>
                </c:pt>
              </c:numCache>
            </c:numRef>
          </c:yVal>
        </c:ser>
        <c:axId val="125621760"/>
        <c:axId val="125624704"/>
      </c:scatterChart>
      <c:valAx>
        <c:axId val="125621760"/>
        <c:scaling>
          <c:logBase val="10"/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Distance (km, log)</a:t>
                </a:r>
              </a:p>
            </c:rich>
          </c:tx>
        </c:title>
        <c:numFmt formatCode="0.00" sourceLinked="1"/>
        <c:majorTickMark val="none"/>
        <c:tickLblPos val="nextTo"/>
        <c:crossAx val="125624704"/>
        <c:crosses val="autoZero"/>
        <c:crossBetween val="midCat"/>
      </c:valAx>
      <c:valAx>
        <c:axId val="12562470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Power (dBm)</a:t>
                </a:r>
              </a:p>
            </c:rich>
          </c:tx>
        </c:title>
        <c:numFmt formatCode="0.0" sourceLinked="1"/>
        <c:majorTickMark val="none"/>
        <c:tickLblPos val="nextTo"/>
        <c:crossAx val="125621760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6480000" cy="324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fis.cept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24"/>
  <sheetViews>
    <sheetView tabSelected="1" workbookViewId="0">
      <pane ySplit="3" topLeftCell="A74" activePane="bottomLeft" state="frozen"/>
      <selection pane="bottomLeft" activeCell="B92" sqref="B92"/>
    </sheetView>
  </sheetViews>
  <sheetFormatPr baseColWidth="10" defaultColWidth="8.88671875" defaultRowHeight="14.4"/>
  <cols>
    <col min="1" max="1" width="36" customWidth="1"/>
    <col min="2" max="2" width="62" customWidth="1"/>
    <col min="3" max="3" width="58" customWidth="1"/>
  </cols>
  <sheetData>
    <row r="1" spans="1:3" ht="31.95" customHeight="1">
      <c r="A1" s="25" t="s">
        <v>0</v>
      </c>
      <c r="B1" s="20"/>
      <c r="C1" s="20"/>
    </row>
    <row r="2" spans="1:3">
      <c r="A2" s="34" t="s">
        <v>1</v>
      </c>
      <c r="B2" s="20"/>
      <c r="C2" s="20"/>
    </row>
    <row r="3" spans="1:3">
      <c r="A3" s="1" t="s">
        <v>2</v>
      </c>
      <c r="B3" s="1" t="s">
        <v>3</v>
      </c>
      <c r="C3" s="1" t="s">
        <v>4</v>
      </c>
    </row>
    <row r="4" spans="1:3" ht="22.05" customHeight="1">
      <c r="A4" s="31" t="s">
        <v>5</v>
      </c>
      <c r="B4" s="20"/>
      <c r="C4" s="20"/>
    </row>
    <row r="5" spans="1:3" ht="19.95" customHeight="1">
      <c r="A5" s="2" t="s">
        <v>6</v>
      </c>
      <c r="B5" s="3"/>
      <c r="C5" s="4" t="s">
        <v>7</v>
      </c>
    </row>
    <row r="6" spans="1:3" ht="19.95" customHeight="1">
      <c r="A6" s="2" t="s">
        <v>8</v>
      </c>
      <c r="B6" s="3"/>
      <c r="C6" s="4"/>
    </row>
    <row r="7" spans="1:3" ht="19.95" customHeight="1">
      <c r="A7" s="2" t="s">
        <v>9</v>
      </c>
      <c r="B7" s="5">
        <v>46309</v>
      </c>
      <c r="C7" s="4"/>
    </row>
    <row r="8" spans="1:3" ht="19.95" customHeight="1">
      <c r="A8" s="2" t="s">
        <v>10</v>
      </c>
      <c r="B8" s="3" t="s">
        <v>11</v>
      </c>
      <c r="C8" s="4" t="s">
        <v>12</v>
      </c>
    </row>
    <row r="10" spans="1:3" ht="22.05" customHeight="1">
      <c r="A10" s="19" t="s">
        <v>13</v>
      </c>
      <c r="B10" s="20"/>
      <c r="C10" s="20"/>
    </row>
    <row r="11" spans="1:3" ht="19.95" customHeight="1">
      <c r="A11" s="2" t="s">
        <v>14</v>
      </c>
      <c r="B11" s="3"/>
      <c r="C11" s="4" t="s">
        <v>15</v>
      </c>
    </row>
    <row r="12" spans="1:3" ht="19.95" customHeight="1">
      <c r="A12" s="2" t="s">
        <v>16</v>
      </c>
      <c r="B12" s="3"/>
      <c r="C12" s="4"/>
    </row>
    <row r="13" spans="1:3" ht="19.95" customHeight="1">
      <c r="A13" s="2" t="s">
        <v>17</v>
      </c>
      <c r="B13" s="3"/>
      <c r="C13" s="4" t="str">
        <f>IF($B$12="Short Range Device (SRD)","Select the ERC Rec. 70-03 annex matching the application",IF($B$13="","Only applicable when Device Category = SRD","⚠ Annex selected but Device Category is not SRD"))</f>
        <v>Only applicable when Device Category = SRD</v>
      </c>
    </row>
    <row r="14" spans="1:3" ht="19.95" customHeight="1">
      <c r="A14" s="2" t="s">
        <v>18</v>
      </c>
      <c r="B14" s="3"/>
      <c r="C14" s="4" t="s">
        <v>19</v>
      </c>
    </row>
    <row r="15" spans="1:3" ht="19.95" customHeight="1">
      <c r="A15" s="2" t="s">
        <v>20</v>
      </c>
      <c r="B15" s="3"/>
      <c r="C15" s="4" t="s">
        <v>21</v>
      </c>
    </row>
    <row r="16" spans="1:3" ht="19.95" customHeight="1">
      <c r="A16" s="2" t="s">
        <v>22</v>
      </c>
      <c r="B16" s="3"/>
      <c r="C16" s="4" t="s">
        <v>23</v>
      </c>
    </row>
    <row r="17" spans="1:3" ht="19.95" customHeight="1">
      <c r="A17" s="2" t="s">
        <v>24</v>
      </c>
      <c r="B17" s="3"/>
      <c r="C17" s="4" t="s">
        <v>25</v>
      </c>
    </row>
    <row r="18" spans="1:3" ht="19.95" customHeight="1">
      <c r="A18" s="2" t="s">
        <v>26</v>
      </c>
      <c r="B18" s="3"/>
      <c r="C18" s="4" t="s">
        <v>19</v>
      </c>
    </row>
    <row r="20" spans="1:3" ht="22.05" customHeight="1">
      <c r="A20" s="19" t="s">
        <v>27</v>
      </c>
      <c r="B20" s="20"/>
      <c r="C20" s="20"/>
    </row>
    <row r="21" spans="1:3" ht="19.95" customHeight="1">
      <c r="A21" s="2" t="s">
        <v>28</v>
      </c>
      <c r="B21" s="6" t="s">
        <v>29</v>
      </c>
      <c r="C21" s="4" t="s">
        <v>30</v>
      </c>
    </row>
    <row r="22" spans="1:3" ht="19.95" customHeight="1">
      <c r="A22" s="2" t="s">
        <v>31</v>
      </c>
      <c r="B22" s="3"/>
      <c r="C22" s="4" t="s">
        <v>32</v>
      </c>
    </row>
    <row r="23" spans="1:3" ht="19.95" customHeight="1">
      <c r="A23" s="2" t="s">
        <v>33</v>
      </c>
      <c r="B23" s="3"/>
      <c r="C23" s="4" t="s">
        <v>34</v>
      </c>
    </row>
    <row r="24" spans="1:3" ht="19.95" customHeight="1">
      <c r="A24" s="2" t="s">
        <v>35</v>
      </c>
      <c r="B24" s="3"/>
      <c r="C24" s="4" t="s">
        <v>36</v>
      </c>
    </row>
    <row r="25" spans="1:3" ht="19.95" customHeight="1">
      <c r="A25" s="2" t="s">
        <v>37</v>
      </c>
      <c r="B25" s="3"/>
      <c r="C25" s="4" t="s">
        <v>38</v>
      </c>
    </row>
    <row r="26" spans="1:3" ht="19.95" customHeight="1">
      <c r="A26" s="2" t="s">
        <v>39</v>
      </c>
      <c r="B26" s="3" t="s">
        <v>40</v>
      </c>
      <c r="C26" s="4"/>
    </row>
    <row r="27" spans="1:3" ht="31.95" customHeight="1">
      <c r="A27" s="2" t="s">
        <v>41</v>
      </c>
      <c r="B27" s="7"/>
      <c r="C27" s="8"/>
    </row>
    <row r="29" spans="1:3" ht="22.05" customHeight="1">
      <c r="A29" s="30" t="s">
        <v>42</v>
      </c>
      <c r="B29" s="20"/>
      <c r="C29" s="20"/>
    </row>
    <row r="30" spans="1:3" ht="19.95" customHeight="1">
      <c r="A30" s="2" t="s">
        <v>43</v>
      </c>
      <c r="B30" s="3"/>
      <c r="C30" s="4" t="s">
        <v>44</v>
      </c>
    </row>
    <row r="31" spans="1:3" ht="19.95" customHeight="1">
      <c r="A31" s="2" t="s">
        <v>45</v>
      </c>
      <c r="B31" s="3"/>
      <c r="C31" s="4" t="s">
        <v>46</v>
      </c>
    </row>
    <row r="32" spans="1:3" ht="19.95" customHeight="1">
      <c r="A32" s="2" t="s">
        <v>47</v>
      </c>
      <c r="B32" s="3"/>
      <c r="C32" s="4" t="s">
        <v>48</v>
      </c>
    </row>
    <row r="33" spans="1:3" ht="19.95" customHeight="1">
      <c r="A33" s="2" t="s">
        <v>49</v>
      </c>
      <c r="B33" s="3"/>
      <c r="C33" s="4" t="s">
        <v>19</v>
      </c>
    </row>
    <row r="35" spans="1:3" ht="22.05" customHeight="1">
      <c r="A35" s="29" t="s">
        <v>50</v>
      </c>
      <c r="B35" s="20"/>
      <c r="C35" s="20"/>
    </row>
    <row r="36" spans="1:3" ht="19.95" customHeight="1">
      <c r="A36" s="2" t="s">
        <v>51</v>
      </c>
      <c r="B36" s="3"/>
      <c r="C36" s="4" t="s">
        <v>52</v>
      </c>
    </row>
    <row r="37" spans="1:3" ht="19.95" customHeight="1">
      <c r="A37" s="2" t="s">
        <v>53</v>
      </c>
      <c r="B37" s="3"/>
      <c r="C37" s="4" t="s">
        <v>54</v>
      </c>
    </row>
    <row r="38" spans="1:3" ht="19.95" customHeight="1">
      <c r="A38" s="2" t="s">
        <v>55</v>
      </c>
      <c r="B38" s="3"/>
      <c r="C38" s="4" t="s">
        <v>56</v>
      </c>
    </row>
    <row r="39" spans="1:3" ht="19.95" customHeight="1">
      <c r="A39" s="2" t="s">
        <v>57</v>
      </c>
      <c r="B39" s="3"/>
      <c r="C39" s="4" t="s">
        <v>58</v>
      </c>
    </row>
    <row r="41" spans="1:3" ht="22.05" customHeight="1">
      <c r="A41" s="22" t="s">
        <v>59</v>
      </c>
      <c r="B41" s="20"/>
      <c r="C41" s="20"/>
    </row>
    <row r="42" spans="1:3" ht="19.95" customHeight="1">
      <c r="A42" s="2" t="s">
        <v>60</v>
      </c>
      <c r="B42" s="3"/>
      <c r="C42" s="4"/>
    </row>
    <row r="43" spans="1:3" ht="19.95" customHeight="1">
      <c r="A43" s="2" t="s">
        <v>61</v>
      </c>
      <c r="B43" s="3"/>
      <c r="C43" s="4" t="s">
        <v>62</v>
      </c>
    </row>
    <row r="44" spans="1:3" ht="19.95" customHeight="1">
      <c r="A44" s="2" t="s">
        <v>63</v>
      </c>
      <c r="B44" s="3"/>
      <c r="C44" s="4" t="s">
        <v>64</v>
      </c>
    </row>
    <row r="45" spans="1:3" ht="19.95" customHeight="1">
      <c r="A45" s="2" t="s">
        <v>65</v>
      </c>
      <c r="B45" s="3"/>
      <c r="C45" s="4" t="s">
        <v>66</v>
      </c>
    </row>
    <row r="46" spans="1:3" ht="19.95" customHeight="1">
      <c r="A46" s="2" t="s">
        <v>67</v>
      </c>
      <c r="B46" s="3"/>
      <c r="C46" s="4" t="s">
        <v>19</v>
      </c>
    </row>
    <row r="48" spans="1:3" ht="22.05" customHeight="1">
      <c r="A48" s="32" t="s">
        <v>68</v>
      </c>
      <c r="B48" s="20"/>
      <c r="C48" s="20"/>
    </row>
    <row r="49" spans="1:3" ht="19.95" customHeight="1">
      <c r="A49" s="2" t="s">
        <v>69</v>
      </c>
      <c r="B49" s="3"/>
      <c r="C49" s="4" t="s">
        <v>70</v>
      </c>
    </row>
    <row r="50" spans="1:3" ht="19.95" customHeight="1">
      <c r="A50" s="2" t="s">
        <v>71</v>
      </c>
      <c r="B50" s="3"/>
      <c r="C50" s="4" t="s">
        <v>72</v>
      </c>
    </row>
    <row r="51" spans="1:3" ht="19.95" customHeight="1">
      <c r="A51" s="2" t="s">
        <v>73</v>
      </c>
      <c r="B51" s="3"/>
      <c r="C51" s="4" t="s">
        <v>74</v>
      </c>
    </row>
    <row r="52" spans="1:3" ht="19.95" customHeight="1">
      <c r="A52" s="2" t="s">
        <v>75</v>
      </c>
      <c r="B52" s="3"/>
      <c r="C52" s="4" t="s">
        <v>76</v>
      </c>
    </row>
    <row r="53" spans="1:3" ht="19.95" customHeight="1">
      <c r="A53" s="2" t="s">
        <v>77</v>
      </c>
      <c r="B53" s="3"/>
      <c r="C53" s="4" t="s">
        <v>78</v>
      </c>
    </row>
    <row r="54" spans="1:3" ht="19.95" customHeight="1">
      <c r="A54" s="2" t="s">
        <v>79</v>
      </c>
      <c r="B54" s="3"/>
      <c r="C54" s="4" t="s">
        <v>80</v>
      </c>
    </row>
    <row r="56" spans="1:3" ht="22.05" customHeight="1">
      <c r="A56" s="28" t="s">
        <v>81</v>
      </c>
      <c r="B56" s="20"/>
      <c r="C56" s="20"/>
    </row>
    <row r="57" spans="1:3" ht="19.95" customHeight="1">
      <c r="A57" s="2" t="s">
        <v>82</v>
      </c>
      <c r="B57" s="3"/>
      <c r="C57" s="4"/>
    </row>
    <row r="58" spans="1:3" ht="19.95" customHeight="1">
      <c r="A58" s="2" t="s">
        <v>83</v>
      </c>
      <c r="B58" s="3"/>
      <c r="C58" s="4" t="s">
        <v>84</v>
      </c>
    </row>
    <row r="59" spans="1:3" ht="31.95" customHeight="1">
      <c r="A59" s="2" t="s">
        <v>85</v>
      </c>
      <c r="B59" s="7"/>
      <c r="C59" s="8" t="s">
        <v>86</v>
      </c>
    </row>
    <row r="60" spans="1:3" ht="19.95" customHeight="1">
      <c r="A60" s="2" t="s">
        <v>87</v>
      </c>
      <c r="B60" s="3"/>
      <c r="C60" s="6" t="str">
        <f>IF($B$60="","Paste the datasheet / application note URL",HYPERLINK($B$60,"→ Open Application Note"))</f>
        <v>Paste the datasheet / application note URL</v>
      </c>
    </row>
    <row r="61" spans="1:3" ht="19.95" customHeight="1">
      <c r="A61" s="2" t="s">
        <v>88</v>
      </c>
      <c r="B61" s="3"/>
      <c r="C61" s="4" t="s">
        <v>89</v>
      </c>
    </row>
    <row r="63" spans="1:3" ht="22.05" customHeight="1">
      <c r="A63" s="23" t="s">
        <v>90</v>
      </c>
      <c r="B63" s="20"/>
      <c r="C63" s="20"/>
    </row>
    <row r="64" spans="1:3" ht="30" customHeight="1">
      <c r="A64" s="26" t="s">
        <v>91</v>
      </c>
      <c r="B64" s="20"/>
      <c r="C64" s="20"/>
    </row>
    <row r="65" spans="1:3" ht="19.95" customHeight="1">
      <c r="A65" s="2" t="s">
        <v>92</v>
      </c>
      <c r="B65" s="3"/>
      <c r="C65" s="4" t="s">
        <v>93</v>
      </c>
    </row>
    <row r="66" spans="1:3" ht="19.95" customHeight="1">
      <c r="A66" s="2" t="s">
        <v>94</v>
      </c>
      <c r="B66" s="3"/>
      <c r="C66" s="4"/>
    </row>
    <row r="67" spans="1:3" ht="19.95" customHeight="1">
      <c r="A67" s="2" t="s">
        <v>95</v>
      </c>
      <c r="B67" s="3"/>
      <c r="C67" s="4"/>
    </row>
    <row r="68" spans="1:3" ht="19.95" customHeight="1">
      <c r="A68" s="2" t="s">
        <v>96</v>
      </c>
      <c r="B68" s="3"/>
      <c r="C68" s="4"/>
    </row>
    <row r="69" spans="1:3" ht="19.95" customHeight="1">
      <c r="A69" s="2" t="s">
        <v>97</v>
      </c>
      <c r="B69" s="3"/>
      <c r="C69" s="4"/>
    </row>
    <row r="70" spans="1:3" ht="19.95" customHeight="1">
      <c r="A70" s="2" t="s">
        <v>98</v>
      </c>
      <c r="B70" s="3"/>
      <c r="C70" s="4"/>
    </row>
    <row r="71" spans="1:3" ht="31.95" customHeight="1">
      <c r="A71" s="2" t="s">
        <v>99</v>
      </c>
      <c r="B71" s="7"/>
      <c r="C71" s="8" t="s">
        <v>100</v>
      </c>
    </row>
    <row r="73" spans="1:3" ht="22.05" customHeight="1">
      <c r="A73" s="33" t="s">
        <v>101</v>
      </c>
      <c r="B73" s="20"/>
      <c r="C73" s="20"/>
    </row>
    <row r="74" spans="1:3" ht="19.95" customHeight="1">
      <c r="A74" s="2" t="s">
        <v>102</v>
      </c>
      <c r="B74" s="6" t="str">
        <f>HYPERLINK("https://genorma.com/en/project/advanced-search?keywords="&amp;SUBSTITUTE(IF($B$15="","SRD",$B$15)," ","%20")&amp;"&amp;status%5B0%5D=PUBLISHED&amp;status%5B2%5D=WITHDRAWN&amp;operatorCommittee=1&amp;operatorStdType=3&amp;listMode=DEFAULT","→ Search "&amp;IF($B$15="","SRD",$B$15)&amp;" standards on Genorma")</f>
        <v>→ Search SRD standards on Genorma</v>
      </c>
      <c r="C74" s="4" t="s">
        <v>103</v>
      </c>
    </row>
    <row r="75" spans="1:3" ht="19.95" customHeight="1">
      <c r="A75" s="2" t="s">
        <v>104</v>
      </c>
      <c r="B75" s="6" t="str">
        <f>HYPERLINK("https://360compliance.co/marketaccess/"&amp;LOWER(SUBSTITUTE(IF($B$17="","USA",$B$17)," ","%20"))&amp;"/","→ Market access requirements for "&amp;IF($B$17="","USA",$B$17))</f>
        <v>→ Market access requirements for USA</v>
      </c>
      <c r="C75" s="4" t="s">
        <v>105</v>
      </c>
    </row>
    <row r="76" spans="1:3" ht="19.95" customHeight="1">
      <c r="A76" s="2" t="s">
        <v>106</v>
      </c>
      <c r="B76" s="6" t="str">
        <f>IF($B$61="","(fill in the FCC-ID field in section 7)",HYPERLINK("https://fcc.report/FCC-ID/"&amp;$B$61&amp;"/","→ View FCC ID report: "&amp;$B$61))</f>
        <v>(fill in the FCC-ID field in section 7)</v>
      </c>
      <c r="C76" s="4" t="s">
        <v>107</v>
      </c>
    </row>
    <row r="77" spans="1:3" ht="30" customHeight="1">
      <c r="A77" s="26" t="s">
        <v>108</v>
      </c>
      <c r="B77" s="20"/>
      <c r="C77" s="20"/>
    </row>
    <row r="78" spans="1:3" ht="19.95" customHeight="1">
      <c r="A78" s="2" t="s">
        <v>109</v>
      </c>
      <c r="B78" s="3"/>
      <c r="C78" s="4"/>
    </row>
    <row r="79" spans="1:3" ht="19.95" customHeight="1">
      <c r="A79" s="2" t="s">
        <v>110</v>
      </c>
      <c r="B79" s="3"/>
      <c r="C79" s="4"/>
    </row>
    <row r="80" spans="1:3" ht="19.95" customHeight="1">
      <c r="A80" s="2" t="s">
        <v>111</v>
      </c>
      <c r="B80" s="3"/>
      <c r="C80" s="4"/>
    </row>
    <row r="81" spans="1:3" ht="19.95" customHeight="1">
      <c r="A81" s="2" t="s">
        <v>112</v>
      </c>
      <c r="B81" s="3"/>
      <c r="C81" s="4"/>
    </row>
    <row r="82" spans="1:3" ht="19.95" customHeight="1">
      <c r="A82" s="2" t="s">
        <v>113</v>
      </c>
      <c r="B82" s="3"/>
      <c r="C82" s="4"/>
    </row>
    <row r="83" spans="1:3" ht="19.95" customHeight="1">
      <c r="A83" s="2" t="s">
        <v>114</v>
      </c>
      <c r="B83" s="3"/>
      <c r="C83" s="4"/>
    </row>
    <row r="84" spans="1:3" ht="19.95" customHeight="1">
      <c r="A84" s="2" t="s">
        <v>115</v>
      </c>
      <c r="B84" s="3"/>
      <c r="C84" s="4"/>
    </row>
    <row r="85" spans="1:3" ht="19.95" customHeight="1">
      <c r="A85" s="2" t="s">
        <v>116</v>
      </c>
      <c r="B85" s="3"/>
      <c r="C85" s="4"/>
    </row>
    <row r="86" spans="1:3" ht="19.95" customHeight="1">
      <c r="A86" s="2" t="s">
        <v>117</v>
      </c>
      <c r="B86" s="3"/>
      <c r="C86" s="4"/>
    </row>
    <row r="87" spans="1:3" ht="19.95" customHeight="1">
      <c r="A87" s="2" t="s">
        <v>118</v>
      </c>
      <c r="B87" s="3"/>
      <c r="C87" s="4"/>
    </row>
    <row r="88" spans="1:3" ht="19.95" customHeight="1">
      <c r="A88" s="2" t="s">
        <v>119</v>
      </c>
      <c r="B88" s="3"/>
      <c r="C88" s="4"/>
    </row>
    <row r="89" spans="1:3" ht="19.95" customHeight="1">
      <c r="A89" s="2" t="s">
        <v>120</v>
      </c>
      <c r="B89" s="3"/>
      <c r="C89" s="4"/>
    </row>
    <row r="90" spans="1:3" ht="19.95" customHeight="1">
      <c r="A90" s="2" t="s">
        <v>121</v>
      </c>
      <c r="B90" s="3"/>
      <c r="C90" s="4"/>
    </row>
    <row r="91" spans="1:3" ht="19.95" customHeight="1">
      <c r="A91" s="2" t="s">
        <v>122</v>
      </c>
      <c r="B91" s="3"/>
      <c r="C91" s="4"/>
    </row>
    <row r="92" spans="1:3" ht="19.95" customHeight="1">
      <c r="A92" s="2" t="s">
        <v>123</v>
      </c>
      <c r="B92" s="3"/>
      <c r="C92" s="4"/>
    </row>
    <row r="93" spans="1:3" ht="19.95" customHeight="1">
      <c r="A93" s="2" t="s">
        <v>124</v>
      </c>
      <c r="B93" s="3"/>
      <c r="C93" s="4"/>
    </row>
    <row r="94" spans="1:3" ht="19.95" customHeight="1">
      <c r="A94" s="2" t="s">
        <v>125</v>
      </c>
      <c r="B94" s="3"/>
      <c r="C94" s="4"/>
    </row>
    <row r="95" spans="1:3" ht="19.95" customHeight="1">
      <c r="A95" s="2" t="s">
        <v>126</v>
      </c>
      <c r="B95" s="3"/>
      <c r="C95" s="4"/>
    </row>
    <row r="96" spans="1:3" ht="19.95" customHeight="1">
      <c r="A96" s="2" t="s">
        <v>127</v>
      </c>
      <c r="B96" s="3"/>
      <c r="C96" s="4"/>
    </row>
    <row r="97" spans="1:3" ht="19.95" customHeight="1">
      <c r="A97" s="2" t="s">
        <v>128</v>
      </c>
      <c r="B97" s="3"/>
      <c r="C97" s="4"/>
    </row>
    <row r="98" spans="1:3" ht="19.95" customHeight="1">
      <c r="A98" s="2" t="s">
        <v>129</v>
      </c>
      <c r="B98" s="3"/>
      <c r="C98" s="4"/>
    </row>
    <row r="99" spans="1:3" ht="19.95" customHeight="1">
      <c r="A99" s="2" t="s">
        <v>130</v>
      </c>
      <c r="B99" s="3"/>
      <c r="C99" s="4"/>
    </row>
    <row r="100" spans="1:3" ht="19.95" customHeight="1">
      <c r="A100" s="2" t="s">
        <v>131</v>
      </c>
      <c r="B100" s="3"/>
      <c r="C100" s="4"/>
    </row>
    <row r="102" spans="1:3" ht="22.05" customHeight="1">
      <c r="A102" s="24" t="s">
        <v>132</v>
      </c>
      <c r="B102" s="20"/>
      <c r="C102" s="20"/>
    </row>
    <row r="103" spans="1:3" ht="30" customHeight="1">
      <c r="A103" s="26" t="s">
        <v>133</v>
      </c>
      <c r="B103" s="20"/>
      <c r="C103" s="20"/>
    </row>
    <row r="104" spans="1:3" ht="19.95" customHeight="1">
      <c r="A104" s="2" t="s">
        <v>134</v>
      </c>
      <c r="B104" s="3" t="s">
        <v>40</v>
      </c>
      <c r="C104" s="4"/>
    </row>
    <row r="105" spans="1:3" ht="19.95" customHeight="1">
      <c r="A105" s="2" t="s">
        <v>135</v>
      </c>
      <c r="B105" s="3" t="s">
        <v>40</v>
      </c>
      <c r="C105" s="4"/>
    </row>
    <row r="106" spans="1:3" ht="19.95" customHeight="1">
      <c r="A106" s="2" t="s">
        <v>136</v>
      </c>
      <c r="B106" s="3" t="s">
        <v>40</v>
      </c>
      <c r="C106" s="4"/>
    </row>
    <row r="107" spans="1:3" ht="19.95" customHeight="1">
      <c r="A107" s="2" t="s">
        <v>137</v>
      </c>
      <c r="B107" s="3"/>
      <c r="C107" s="4"/>
    </row>
    <row r="108" spans="1:3" ht="19.95" customHeight="1">
      <c r="A108" s="2" t="s">
        <v>138</v>
      </c>
      <c r="B108" s="3"/>
      <c r="C108" s="4"/>
    </row>
    <row r="110" spans="1:3" ht="22.05" customHeight="1">
      <c r="A110" s="27" t="s">
        <v>139</v>
      </c>
      <c r="B110" s="20"/>
      <c r="C110" s="20"/>
    </row>
    <row r="111" spans="1:3" ht="48" customHeight="1">
      <c r="A111" s="2" t="s">
        <v>140</v>
      </c>
      <c r="B111" s="7"/>
      <c r="C111" s="8" t="s">
        <v>141</v>
      </c>
    </row>
    <row r="112" spans="1:3" ht="48" customHeight="1">
      <c r="A112" s="2" t="s">
        <v>142</v>
      </c>
      <c r="B112" s="7"/>
      <c r="C112" s="8" t="s">
        <v>143</v>
      </c>
    </row>
    <row r="113" spans="1:3" ht="48" customHeight="1">
      <c r="A113" s="2" t="s">
        <v>144</v>
      </c>
      <c r="B113" s="7"/>
      <c r="C113" s="8" t="s">
        <v>145</v>
      </c>
    </row>
    <row r="115" spans="1:3" ht="22.05" customHeight="1">
      <c r="A115" s="21" t="s">
        <v>146</v>
      </c>
      <c r="B115" s="20"/>
      <c r="C115" s="20"/>
    </row>
    <row r="116" spans="1:3" ht="19.95" customHeight="1">
      <c r="A116" s="2" t="s">
        <v>147</v>
      </c>
      <c r="B116" s="3"/>
      <c r="C116" s="4" t="s">
        <v>148</v>
      </c>
    </row>
    <row r="117" spans="1:3" ht="19.95" customHeight="1">
      <c r="A117" s="2" t="s">
        <v>149</v>
      </c>
      <c r="B117" s="3"/>
      <c r="C117" s="4" t="s">
        <v>150</v>
      </c>
    </row>
    <row r="118" spans="1:3" ht="19.95" customHeight="1">
      <c r="A118" s="2" t="s">
        <v>151</v>
      </c>
      <c r="B118" s="3"/>
      <c r="C118" s="4" t="s">
        <v>152</v>
      </c>
    </row>
    <row r="119" spans="1:3" ht="19.95" customHeight="1">
      <c r="A119" s="2" t="s">
        <v>153</v>
      </c>
      <c r="B119" s="3"/>
      <c r="C119" s="4" t="s">
        <v>154</v>
      </c>
    </row>
    <row r="120" spans="1:3" ht="19.95" customHeight="1">
      <c r="A120" s="2" t="s">
        <v>155</v>
      </c>
      <c r="B120" s="3"/>
      <c r="C120" s="4" t="s">
        <v>156</v>
      </c>
    </row>
    <row r="121" spans="1:3" ht="19.95" customHeight="1">
      <c r="A121" s="2" t="s">
        <v>157</v>
      </c>
      <c r="B121" s="3"/>
      <c r="C121" s="4" t="s">
        <v>158</v>
      </c>
    </row>
    <row r="122" spans="1:3" ht="19.95" customHeight="1">
      <c r="A122" s="2" t="s">
        <v>159</v>
      </c>
      <c r="B122" s="3"/>
      <c r="C122" s="4" t="s">
        <v>160</v>
      </c>
    </row>
    <row r="123" spans="1:3" ht="19.95" customHeight="1">
      <c r="A123" s="2" t="s">
        <v>161</v>
      </c>
      <c r="B123" s="3"/>
      <c r="C123" s="4" t="s">
        <v>162</v>
      </c>
    </row>
    <row r="124" spans="1:3" ht="19.95" customHeight="1">
      <c r="A124" s="2" t="s">
        <v>163</v>
      </c>
      <c r="B124" s="3"/>
      <c r="C124" s="4" t="s">
        <v>164</v>
      </c>
    </row>
  </sheetData>
  <mergeCells count="18">
    <mergeCell ref="A1:C1"/>
    <mergeCell ref="A103:C103"/>
    <mergeCell ref="A110:C110"/>
    <mergeCell ref="A56:C56"/>
    <mergeCell ref="A35:C35"/>
    <mergeCell ref="A77:C77"/>
    <mergeCell ref="A29:C29"/>
    <mergeCell ref="A4:C4"/>
    <mergeCell ref="A48:C48"/>
    <mergeCell ref="A20:C20"/>
    <mergeCell ref="A73:C73"/>
    <mergeCell ref="A2:C2"/>
    <mergeCell ref="A64:C64"/>
    <mergeCell ref="A10:C10"/>
    <mergeCell ref="A115:C115"/>
    <mergeCell ref="A41:C41"/>
    <mergeCell ref="A63:C63"/>
    <mergeCell ref="A102:C102"/>
  </mergeCells>
  <conditionalFormatting sqref="A13:C13">
    <cfRule type="expression" dxfId="0" priority="1">
      <formula>$B$12&lt;&gt;"Short Range Device (SRD)"</formula>
    </cfRule>
  </conditionalFormatting>
  <dataValidations count="19">
    <dataValidation type="list" allowBlank="1" showErrorMessage="1" errorTitle="Invalid value" error="Please pick a value from the list (edit the 'Lists' sheet to add one)." sqref="B12">
      <formula1>OFFSET(Lists!$A$2,0,0,COUNTA(Lists!$A:$A)-1,1)</formula1>
    </dataValidation>
    <dataValidation type="list" allowBlank="1" showErrorMessage="1" errorTitle="Invalid value" error="Please pick a value from the list (edit the 'Lists' sheet to add one)." sqref="B13">
      <formula1>OFFSET(Lists!$B$2,0,0,COUNTA(Lists!$B:$B)-1,1)</formula1>
    </dataValidation>
    <dataValidation type="list" allowBlank="1" showErrorMessage="1" errorTitle="Invalid value" error="Please pick a value from the list (edit the 'Lists' sheet to add one)." sqref="B42">
      <formula1>OFFSET(Lists!$C$2,0,0,COUNTA(Lists!$C:$C)-1,1)</formula1>
    </dataValidation>
    <dataValidation type="list" allowBlank="1" showErrorMessage="1" errorTitle="Invalid value" error="Please pick a value from the list (edit the 'Lists' sheet to add one)." sqref="B57">
      <formula1>OFFSET(Lists!$D$2,0,0,COUNTA(Lists!$D:$D)-1,1)</formula1>
    </dataValidation>
    <dataValidation type="list" allowBlank="1" showErrorMessage="1" errorTitle="Invalid value" error="Please pick a value from the list (edit the 'Lists' sheet to add one)." sqref="B107">
      <formula1>OFFSET(Lists!$E$2,0,0,COUNTA(Lists!$E:$E)-1,1)</formula1>
    </dataValidation>
    <dataValidation type="list" allowBlank="1" showErrorMessage="1" errorTitle="Invalid value" error="Please pick a value from the list (edit the 'Lists' sheet to add one)." sqref="B26 B104 B105 B106">
      <formula1>OFFSET(Lists!$F$2,0,0,COUNTA(Lists!$F:$F)-1,1)</formula1>
    </dataValidation>
    <dataValidation type="list" allowBlank="1" sqref="B14">
      <formula1>OFFSET(Lists!$G$2,0,0,COUNTA(Lists!$G:$G)-1,1)</formula1>
    </dataValidation>
    <dataValidation type="list" allowBlank="1" sqref="B18">
      <formula1>OFFSET(Lists!$H$2,0,0,COUNTA(Lists!$H:$H)-1,1)</formula1>
    </dataValidation>
    <dataValidation type="list" allowBlank="1" sqref="B33">
      <formula1>OFFSET(Lists!$I$2,0,0,COUNTA(Lists!$I:$I)-1,1)</formula1>
    </dataValidation>
    <dataValidation type="list" allowBlank="1" sqref="B46">
      <formula1>OFFSET(Lists!$J$2,0,0,COUNTA(Lists!$J:$J)-1,1)</formula1>
    </dataValidation>
    <dataValidation type="list" allowBlank="1" sqref="B78 B79">
      <formula1>OFFSET(Lists!$K$2,0,0,COUNTA(Lists!$K:$K)-1,1)</formula1>
    </dataValidation>
    <dataValidation type="list" allowBlank="1" sqref="B80 B81 B82">
      <formula1>OFFSET(Lists!$L$2,0,0,COUNTA(Lists!$L:$L)-1,1)</formula1>
    </dataValidation>
    <dataValidation type="list" allowBlank="1" sqref="B83 B84 B85">
      <formula1>OFFSET(Lists!$M$2,0,0,COUNTA(Lists!$M:$M)-1,1)</formula1>
    </dataValidation>
    <dataValidation type="list" allowBlank="1" sqref="B86 B87 B88">
      <formula1>OFFSET(Lists!$N$2,0,0,COUNTA(Lists!$N:$N)-1,1)</formula1>
    </dataValidation>
    <dataValidation type="list" allowBlank="1" sqref="B89 B90 B91 B92">
      <formula1>OFFSET(Lists!$O$2,0,0,COUNTA(Lists!$O:$O)-1,1)</formula1>
    </dataValidation>
    <dataValidation type="list" allowBlank="1" sqref="B93 B94">
      <formula1>OFFSET(Lists!$P$2,0,0,COUNTA(Lists!$P:$P)-1,1)</formula1>
    </dataValidation>
    <dataValidation type="list" allowBlank="1" sqref="B95 B96">
      <formula1>OFFSET(Lists!$Q$2,0,0,COUNTA(Lists!$Q:$Q)-1,1)</formula1>
    </dataValidation>
    <dataValidation type="list" allowBlank="1" sqref="B97 B98 B99 B100">
      <formula1>OFFSET(Lists!$R$2,0,0,COUNTA(Lists!$R:$R)-1,1)</formula1>
    </dataValidation>
    <dataValidation type="list" allowBlank="1" sqref="B65 B66 B67 B68 B69 B70">
      <formula1>OFFSET(Lists!$S$2,0,0,COUNTA(Lists!$S:$S)-1,1)</formula1>
    </dataValidation>
  </dataValidations>
  <hyperlinks>
    <hyperlink ref="B21" r:id="rId1"/>
  </hyperlink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baseColWidth="10" defaultColWidth="8.88671875" defaultRowHeight="14.4"/>
  <cols>
    <col min="1" max="1" width="34" customWidth="1"/>
    <col min="2" max="2" width="14" customWidth="1"/>
    <col min="4" max="7" width="16" customWidth="1"/>
  </cols>
  <sheetData>
    <row r="1" spans="1:7" ht="18">
      <c r="A1" s="36" t="s">
        <v>165</v>
      </c>
      <c r="B1" s="20"/>
      <c r="C1" s="20"/>
      <c r="D1" s="20"/>
      <c r="E1" s="20"/>
      <c r="F1" s="20"/>
      <c r="G1" s="20"/>
    </row>
    <row r="3" spans="1:7" ht="28.8">
      <c r="A3" s="9" t="s">
        <v>166</v>
      </c>
      <c r="B3" s="10">
        <v>5</v>
      </c>
      <c r="D3" s="11" t="s">
        <v>167</v>
      </c>
      <c r="E3" s="11" t="s">
        <v>168</v>
      </c>
      <c r="F3" s="11" t="s">
        <v>169</v>
      </c>
      <c r="G3" s="11" t="s">
        <v>170</v>
      </c>
    </row>
    <row r="4" spans="1:7">
      <c r="A4" s="9" t="s">
        <v>171</v>
      </c>
      <c r="B4" s="12">
        <f>10*LOG10(B3*1000)</f>
        <v>36.989700043360187</v>
      </c>
      <c r="D4" s="13">
        <f>10^(-1+0.1*0)</f>
        <v>0.1</v>
      </c>
      <c r="E4" s="14">
        <f t="shared" ref="E4:E44" si="0">32.45+20*LOG10($B$9)+20*LOG10(D4)</f>
        <v>55.737057115688742</v>
      </c>
      <c r="F4" s="14">
        <f t="shared" ref="F4:F44" si="1">$B$4+$B$5+$B$6-$B$7-E4</f>
        <v>-14.447357072328558</v>
      </c>
      <c r="G4" s="14">
        <f t="shared" ref="G4:G44" si="2">$B$8+$B$10</f>
        <v>-110</v>
      </c>
    </row>
    <row r="5" spans="1:7">
      <c r="A5" s="9" t="s">
        <v>172</v>
      </c>
      <c r="B5" s="10">
        <v>2.15</v>
      </c>
      <c r="D5" s="13">
        <f>10^(-1+0.1*1)</f>
        <v>0.12589254117941667</v>
      </c>
      <c r="E5" s="14">
        <f t="shared" si="0"/>
        <v>57.737057115688742</v>
      </c>
      <c r="F5" s="14">
        <f t="shared" si="1"/>
        <v>-16.447357072328558</v>
      </c>
      <c r="G5" s="14">
        <f t="shared" si="2"/>
        <v>-110</v>
      </c>
    </row>
    <row r="6" spans="1:7">
      <c r="A6" s="9" t="s">
        <v>173</v>
      </c>
      <c r="B6" s="10">
        <v>2.15</v>
      </c>
      <c r="D6" s="13">
        <f>10^(-1+0.1*2)</f>
        <v>0.15848931924611132</v>
      </c>
      <c r="E6" s="14">
        <f t="shared" si="0"/>
        <v>59.737057115688742</v>
      </c>
      <c r="F6" s="14">
        <f t="shared" si="1"/>
        <v>-18.447357072328558</v>
      </c>
      <c r="G6" s="14">
        <f t="shared" si="2"/>
        <v>-110</v>
      </c>
    </row>
    <row r="7" spans="1:7">
      <c r="A7" s="9" t="s">
        <v>174</v>
      </c>
      <c r="B7" s="10">
        <v>0</v>
      </c>
      <c r="D7" s="13">
        <f>10^(-1+0.1*3)</f>
        <v>0.19952623149688795</v>
      </c>
      <c r="E7" s="14">
        <f t="shared" si="0"/>
        <v>61.737057115688742</v>
      </c>
      <c r="F7" s="14">
        <f t="shared" si="1"/>
        <v>-20.447357072328558</v>
      </c>
      <c r="G7" s="14">
        <f t="shared" si="2"/>
        <v>-110</v>
      </c>
    </row>
    <row r="8" spans="1:7">
      <c r="A8" s="9" t="s">
        <v>175</v>
      </c>
      <c r="B8" s="10">
        <v>-120</v>
      </c>
      <c r="D8" s="13">
        <f>10^(-1+0.1*4)</f>
        <v>0.25118864315095801</v>
      </c>
      <c r="E8" s="14">
        <f t="shared" si="0"/>
        <v>63.737057115688742</v>
      </c>
      <c r="F8" s="14">
        <f t="shared" si="1"/>
        <v>-22.447357072328558</v>
      </c>
      <c r="G8" s="14">
        <f t="shared" si="2"/>
        <v>-110</v>
      </c>
    </row>
    <row r="9" spans="1:7">
      <c r="A9" s="9" t="s">
        <v>176</v>
      </c>
      <c r="B9" s="10">
        <v>146</v>
      </c>
      <c r="D9" s="13">
        <f>10^(-1+0.1*5)</f>
        <v>0.31622776601683794</v>
      </c>
      <c r="E9" s="14">
        <f t="shared" si="0"/>
        <v>65.737057115688742</v>
      </c>
      <c r="F9" s="14">
        <f t="shared" si="1"/>
        <v>-24.447357072328558</v>
      </c>
      <c r="G9" s="14">
        <f t="shared" si="2"/>
        <v>-110</v>
      </c>
    </row>
    <row r="10" spans="1:7">
      <c r="A10" s="9" t="s">
        <v>177</v>
      </c>
      <c r="B10" s="10">
        <v>10</v>
      </c>
      <c r="D10" s="13">
        <f>10^(-1+0.1*6)</f>
        <v>0.39810717055349731</v>
      </c>
      <c r="E10" s="14">
        <f t="shared" si="0"/>
        <v>67.737057115688742</v>
      </c>
      <c r="F10" s="14">
        <f t="shared" si="1"/>
        <v>-26.447357072328558</v>
      </c>
      <c r="G10" s="14">
        <f t="shared" si="2"/>
        <v>-110</v>
      </c>
    </row>
    <row r="11" spans="1:7">
      <c r="A11" s="9" t="s">
        <v>178</v>
      </c>
      <c r="B11" s="10">
        <v>10</v>
      </c>
      <c r="D11" s="13">
        <f>10^(-1+0.1*7)</f>
        <v>0.50118723362727235</v>
      </c>
      <c r="E11" s="14">
        <f t="shared" si="0"/>
        <v>69.737057115688742</v>
      </c>
      <c r="F11" s="14">
        <f t="shared" si="1"/>
        <v>-28.447357072328558</v>
      </c>
      <c r="G11" s="14">
        <f t="shared" si="2"/>
        <v>-110</v>
      </c>
    </row>
    <row r="12" spans="1:7">
      <c r="A12" s="9" t="s">
        <v>179</v>
      </c>
      <c r="B12" s="10">
        <v>1.5</v>
      </c>
      <c r="D12" s="13">
        <f>10^(-1+0.1*8)</f>
        <v>0.63095734448019325</v>
      </c>
      <c r="E12" s="14">
        <f t="shared" si="0"/>
        <v>71.737057115688742</v>
      </c>
      <c r="F12" s="14">
        <f t="shared" si="1"/>
        <v>-30.447357072328558</v>
      </c>
      <c r="G12" s="14">
        <f t="shared" si="2"/>
        <v>-110</v>
      </c>
    </row>
    <row r="13" spans="1:7">
      <c r="D13" s="13">
        <f>10^(-1+0.1*9)</f>
        <v>0.7943282347242816</v>
      </c>
      <c r="E13" s="14">
        <f t="shared" si="0"/>
        <v>73.737057115688742</v>
      </c>
      <c r="F13" s="14">
        <f t="shared" si="1"/>
        <v>-32.447357072328558</v>
      </c>
      <c r="G13" s="14">
        <f t="shared" si="2"/>
        <v>-110</v>
      </c>
    </row>
    <row r="14" spans="1:7">
      <c r="A14" s="9" t="s">
        <v>180</v>
      </c>
      <c r="B14" s="12">
        <f>10^((B4+B5+B6-B7-B8-B10-32.45-20*LOG10(B9))/20)</f>
        <v>5992.8325975901125</v>
      </c>
      <c r="D14" s="13">
        <f>10^(-1+0.1*10)</f>
        <v>1</v>
      </c>
      <c r="E14" s="14">
        <f t="shared" si="0"/>
        <v>75.737057115688742</v>
      </c>
      <c r="F14" s="14">
        <f t="shared" si="1"/>
        <v>-34.447357072328558</v>
      </c>
      <c r="G14" s="14">
        <f t="shared" si="2"/>
        <v>-110</v>
      </c>
    </row>
    <row r="15" spans="1:7">
      <c r="A15" s="9" t="s">
        <v>181</v>
      </c>
      <c r="B15" s="12">
        <f>4.12*(SQRT(B11)+SQRT(B12))</f>
        <v>18.074532830027071</v>
      </c>
      <c r="D15" s="13">
        <f>10^(-1+0.1*11)</f>
        <v>1.2589254117941675</v>
      </c>
      <c r="E15" s="14">
        <f t="shared" si="0"/>
        <v>77.737057115688742</v>
      </c>
      <c r="F15" s="14">
        <f t="shared" si="1"/>
        <v>-36.447357072328558</v>
      </c>
      <c r="G15" s="14">
        <f t="shared" si="2"/>
        <v>-110</v>
      </c>
    </row>
    <row r="16" spans="1:7" ht="15.6">
      <c r="A16" s="15" t="s">
        <v>182</v>
      </c>
      <c r="B16" s="16">
        <f>MIN(B14,B15)</f>
        <v>18.074532830027071</v>
      </c>
      <c r="D16" s="13">
        <f>10^(-1+0.1*12)</f>
        <v>1.5848931924611143</v>
      </c>
      <c r="E16" s="14">
        <f t="shared" si="0"/>
        <v>79.737057115688742</v>
      </c>
      <c r="F16" s="14">
        <f t="shared" si="1"/>
        <v>-38.447357072328558</v>
      </c>
      <c r="G16" s="14">
        <f t="shared" si="2"/>
        <v>-110</v>
      </c>
    </row>
    <row r="17" spans="1:7">
      <c r="D17" s="13">
        <f>10^(-1+0.1*13)</f>
        <v>1.99526231496888</v>
      </c>
      <c r="E17" s="14">
        <f t="shared" si="0"/>
        <v>81.737057115688742</v>
      </c>
      <c r="F17" s="14">
        <f t="shared" si="1"/>
        <v>-40.447357072328558</v>
      </c>
      <c r="G17" s="14">
        <f t="shared" si="2"/>
        <v>-110</v>
      </c>
    </row>
    <row r="18" spans="1:7">
      <c r="A18" s="35" t="s">
        <v>183</v>
      </c>
      <c r="B18" s="20"/>
      <c r="D18" s="13">
        <f>10^(-1+0.1*14)</f>
        <v>2.511886431509581</v>
      </c>
      <c r="E18" s="14">
        <f t="shared" si="0"/>
        <v>83.737057115688742</v>
      </c>
      <c r="F18" s="14">
        <f t="shared" si="1"/>
        <v>-42.447357072328558</v>
      </c>
      <c r="G18" s="14">
        <f t="shared" si="2"/>
        <v>-110</v>
      </c>
    </row>
    <row r="19" spans="1:7">
      <c r="A19" s="20"/>
      <c r="B19" s="20"/>
      <c r="D19" s="13">
        <f>10^(-1+0.1*15)</f>
        <v>3.1622776601683795</v>
      </c>
      <c r="E19" s="14">
        <f t="shared" si="0"/>
        <v>85.737057115688742</v>
      </c>
      <c r="F19" s="14">
        <f t="shared" si="1"/>
        <v>-44.447357072328558</v>
      </c>
      <c r="G19" s="14">
        <f t="shared" si="2"/>
        <v>-110</v>
      </c>
    </row>
    <row r="20" spans="1:7">
      <c r="A20" s="20"/>
      <c r="B20" s="20"/>
      <c r="D20" s="13">
        <f>10^(-1+0.1*16)</f>
        <v>3.9810717055349736</v>
      </c>
      <c r="E20" s="14">
        <f t="shared" si="0"/>
        <v>87.737057115688742</v>
      </c>
      <c r="F20" s="14">
        <f t="shared" si="1"/>
        <v>-46.447357072328558</v>
      </c>
      <c r="G20" s="14">
        <f t="shared" si="2"/>
        <v>-110</v>
      </c>
    </row>
    <row r="21" spans="1:7">
      <c r="A21" s="20"/>
      <c r="B21" s="20"/>
      <c r="D21" s="13">
        <f>10^(-1+0.1*17)</f>
        <v>5.0118723362727264</v>
      </c>
      <c r="E21" s="14">
        <f t="shared" si="0"/>
        <v>89.737057115688742</v>
      </c>
      <c r="F21" s="14">
        <f t="shared" si="1"/>
        <v>-48.447357072328558</v>
      </c>
      <c r="G21" s="14">
        <f t="shared" si="2"/>
        <v>-110</v>
      </c>
    </row>
    <row r="22" spans="1:7">
      <c r="D22" s="13">
        <f>10^(-1+0.1*18)</f>
        <v>6.3095734448019343</v>
      </c>
      <c r="E22" s="14">
        <f t="shared" si="0"/>
        <v>91.737057115688742</v>
      </c>
      <c r="F22" s="14">
        <f t="shared" si="1"/>
        <v>-50.447357072328558</v>
      </c>
      <c r="G22" s="14">
        <f t="shared" si="2"/>
        <v>-110</v>
      </c>
    </row>
    <row r="23" spans="1:7">
      <c r="D23" s="13">
        <f>10^(-1+0.1*19)</f>
        <v>7.9432823472428176</v>
      </c>
      <c r="E23" s="14">
        <f t="shared" si="0"/>
        <v>93.737057115688742</v>
      </c>
      <c r="F23" s="14">
        <f t="shared" si="1"/>
        <v>-52.447357072328558</v>
      </c>
      <c r="G23" s="14">
        <f t="shared" si="2"/>
        <v>-110</v>
      </c>
    </row>
    <row r="24" spans="1:7">
      <c r="D24" s="13">
        <f>10^(-1+0.1*20)</f>
        <v>10</v>
      </c>
      <c r="E24" s="14">
        <f t="shared" si="0"/>
        <v>95.737057115688742</v>
      </c>
      <c r="F24" s="14">
        <f t="shared" si="1"/>
        <v>-54.447357072328558</v>
      </c>
      <c r="G24" s="14">
        <f t="shared" si="2"/>
        <v>-110</v>
      </c>
    </row>
    <row r="25" spans="1:7">
      <c r="D25" s="13">
        <f>10^(-1+0.1*21)</f>
        <v>12.58925411794168</v>
      </c>
      <c r="E25" s="14">
        <f t="shared" si="0"/>
        <v>97.737057115688742</v>
      </c>
      <c r="F25" s="14">
        <f t="shared" si="1"/>
        <v>-56.447357072328558</v>
      </c>
      <c r="G25" s="14">
        <f t="shared" si="2"/>
        <v>-110</v>
      </c>
    </row>
    <row r="26" spans="1:7">
      <c r="D26" s="13">
        <f>10^(-1+0.1*22)</f>
        <v>15.848931924611144</v>
      </c>
      <c r="E26" s="14">
        <f t="shared" si="0"/>
        <v>99.737057115688742</v>
      </c>
      <c r="F26" s="14">
        <f t="shared" si="1"/>
        <v>-58.447357072328558</v>
      </c>
      <c r="G26" s="14">
        <f t="shared" si="2"/>
        <v>-110</v>
      </c>
    </row>
    <row r="27" spans="1:7">
      <c r="D27" s="13">
        <f>10^(-1+0.1*23)</f>
        <v>19.952623149688815</v>
      </c>
      <c r="E27" s="14">
        <f t="shared" si="0"/>
        <v>101.73705711568876</v>
      </c>
      <c r="F27" s="14">
        <f t="shared" si="1"/>
        <v>-60.447357072328572</v>
      </c>
      <c r="G27" s="14">
        <f t="shared" si="2"/>
        <v>-110</v>
      </c>
    </row>
    <row r="28" spans="1:7">
      <c r="D28" s="13">
        <f>10^(-1+0.1*24)</f>
        <v>25.118864315095834</v>
      </c>
      <c r="E28" s="14">
        <f t="shared" si="0"/>
        <v>103.73705711568876</v>
      </c>
      <c r="F28" s="14">
        <f t="shared" si="1"/>
        <v>-62.447357072328572</v>
      </c>
      <c r="G28" s="14">
        <f t="shared" si="2"/>
        <v>-110</v>
      </c>
    </row>
    <row r="29" spans="1:7">
      <c r="D29" s="13">
        <f>10^(-1+0.1*25)</f>
        <v>31.622776601683803</v>
      </c>
      <c r="E29" s="14">
        <f t="shared" si="0"/>
        <v>105.73705711568874</v>
      </c>
      <c r="F29" s="14">
        <f t="shared" si="1"/>
        <v>-64.447357072328558</v>
      </c>
      <c r="G29" s="14">
        <f t="shared" si="2"/>
        <v>-110</v>
      </c>
    </row>
    <row r="30" spans="1:7">
      <c r="D30" s="13">
        <f>10^(-1+0.1*26)</f>
        <v>39.810717055349755</v>
      </c>
      <c r="E30" s="14">
        <f t="shared" si="0"/>
        <v>107.73705711568874</v>
      </c>
      <c r="F30" s="14">
        <f t="shared" si="1"/>
        <v>-66.447357072328558</v>
      </c>
      <c r="G30" s="14">
        <f t="shared" si="2"/>
        <v>-110</v>
      </c>
    </row>
    <row r="31" spans="1:7">
      <c r="D31" s="13">
        <f>10^(-1+0.1*27)</f>
        <v>50.118723362727259</v>
      </c>
      <c r="E31" s="14">
        <f t="shared" si="0"/>
        <v>109.73705711568874</v>
      </c>
      <c r="F31" s="14">
        <f t="shared" si="1"/>
        <v>-68.447357072328558</v>
      </c>
      <c r="G31" s="14">
        <f t="shared" si="2"/>
        <v>-110</v>
      </c>
    </row>
    <row r="32" spans="1:7">
      <c r="D32" s="13">
        <f>10^(-1+0.1*28)</f>
        <v>63.095734448019364</v>
      </c>
      <c r="E32" s="14">
        <f t="shared" si="0"/>
        <v>111.73705711568874</v>
      </c>
      <c r="F32" s="14">
        <f t="shared" si="1"/>
        <v>-70.447357072328558</v>
      </c>
      <c r="G32" s="14">
        <f t="shared" si="2"/>
        <v>-110</v>
      </c>
    </row>
    <row r="33" spans="4:7">
      <c r="D33" s="13">
        <f>10^(-1+0.1*29)</f>
        <v>79.432823472428254</v>
      </c>
      <c r="E33" s="14">
        <f t="shared" si="0"/>
        <v>113.73705711568876</v>
      </c>
      <c r="F33" s="14">
        <f t="shared" si="1"/>
        <v>-72.447357072328572</v>
      </c>
      <c r="G33" s="14">
        <f t="shared" si="2"/>
        <v>-110</v>
      </c>
    </row>
    <row r="34" spans="4:7">
      <c r="D34" s="13">
        <f>10^(-1+0.1*30)</f>
        <v>100</v>
      </c>
      <c r="E34" s="14">
        <f t="shared" si="0"/>
        <v>115.73705711568874</v>
      </c>
      <c r="F34" s="14">
        <f t="shared" si="1"/>
        <v>-74.447357072328558</v>
      </c>
      <c r="G34" s="14">
        <f t="shared" si="2"/>
        <v>-110</v>
      </c>
    </row>
    <row r="35" spans="4:7">
      <c r="D35" s="13">
        <f>10^(-1+0.1*31)</f>
        <v>125.89254117941677</v>
      </c>
      <c r="E35" s="14">
        <f t="shared" si="0"/>
        <v>117.73705711568874</v>
      </c>
      <c r="F35" s="14">
        <f t="shared" si="1"/>
        <v>-76.447357072328558</v>
      </c>
      <c r="G35" s="14">
        <f t="shared" si="2"/>
        <v>-110</v>
      </c>
    </row>
    <row r="36" spans="4:7">
      <c r="D36" s="13">
        <f>10^(-1+0.1*32)</f>
        <v>158.48931924611153</v>
      </c>
      <c r="E36" s="14">
        <f t="shared" si="0"/>
        <v>119.73705711568876</v>
      </c>
      <c r="F36" s="14">
        <f t="shared" si="1"/>
        <v>-78.447357072328572</v>
      </c>
      <c r="G36" s="14">
        <f t="shared" si="2"/>
        <v>-110</v>
      </c>
    </row>
    <row r="37" spans="4:7">
      <c r="D37" s="13">
        <f>10^(-1+0.1*33)</f>
        <v>199.52623149688819</v>
      </c>
      <c r="E37" s="14">
        <f t="shared" si="0"/>
        <v>121.73705711568876</v>
      </c>
      <c r="F37" s="14">
        <f t="shared" si="1"/>
        <v>-80.447357072328572</v>
      </c>
      <c r="G37" s="14">
        <f t="shared" si="2"/>
        <v>-110</v>
      </c>
    </row>
    <row r="38" spans="4:7">
      <c r="D38" s="13">
        <f>10^(-1+0.1*34)</f>
        <v>251.18864315095828</v>
      </c>
      <c r="E38" s="14">
        <f t="shared" si="0"/>
        <v>123.73705711568874</v>
      </c>
      <c r="F38" s="14">
        <f t="shared" si="1"/>
        <v>-82.447357072328558</v>
      </c>
      <c r="G38" s="14">
        <f t="shared" si="2"/>
        <v>-110</v>
      </c>
    </row>
    <row r="39" spans="4:7">
      <c r="D39" s="13">
        <f>10^(-1+0.1*35)</f>
        <v>316.22776601683825</v>
      </c>
      <c r="E39" s="14">
        <f t="shared" si="0"/>
        <v>125.73705711568874</v>
      </c>
      <c r="F39" s="14">
        <f t="shared" si="1"/>
        <v>-84.447357072328558</v>
      </c>
      <c r="G39" s="14">
        <f t="shared" si="2"/>
        <v>-110</v>
      </c>
    </row>
    <row r="40" spans="4:7">
      <c r="D40" s="13">
        <f>10^(-1+0.1*36)</f>
        <v>398.10717055349761</v>
      </c>
      <c r="E40" s="14">
        <f t="shared" si="0"/>
        <v>127.73705711568876</v>
      </c>
      <c r="F40" s="14">
        <f t="shared" si="1"/>
        <v>-86.447357072328572</v>
      </c>
      <c r="G40" s="14">
        <f t="shared" si="2"/>
        <v>-110</v>
      </c>
    </row>
    <row r="41" spans="4:7">
      <c r="D41" s="13">
        <f>10^(-1+0.1*37)</f>
        <v>501.18723362727269</v>
      </c>
      <c r="E41" s="14">
        <f t="shared" si="0"/>
        <v>129.73705711568874</v>
      </c>
      <c r="F41" s="14">
        <f t="shared" si="1"/>
        <v>-88.447357072328558</v>
      </c>
      <c r="G41" s="14">
        <f t="shared" si="2"/>
        <v>-110</v>
      </c>
    </row>
    <row r="42" spans="4:7">
      <c r="D42" s="13">
        <f>10^(-1+0.1*38)</f>
        <v>630.9573444801938</v>
      </c>
      <c r="E42" s="14">
        <f t="shared" si="0"/>
        <v>131.73705711568874</v>
      </c>
      <c r="F42" s="14">
        <f t="shared" si="1"/>
        <v>-90.447357072328558</v>
      </c>
      <c r="G42" s="14">
        <f t="shared" si="2"/>
        <v>-110</v>
      </c>
    </row>
    <row r="43" spans="4:7">
      <c r="D43" s="13">
        <f>10^(-1+0.1*39)</f>
        <v>794.32823472428277</v>
      </c>
      <c r="E43" s="14">
        <f t="shared" si="0"/>
        <v>133.73705711568874</v>
      </c>
      <c r="F43" s="14">
        <f t="shared" si="1"/>
        <v>-92.447357072328558</v>
      </c>
      <c r="G43" s="14">
        <f t="shared" si="2"/>
        <v>-110</v>
      </c>
    </row>
    <row r="44" spans="4:7">
      <c r="D44" s="13">
        <f>10^(-1+0.1*40)</f>
        <v>1000</v>
      </c>
      <c r="E44" s="14">
        <f t="shared" si="0"/>
        <v>135.73705711568874</v>
      </c>
      <c r="F44" s="14">
        <f t="shared" si="1"/>
        <v>-94.447357072328558</v>
      </c>
      <c r="G44" s="14">
        <f t="shared" si="2"/>
        <v>-110</v>
      </c>
    </row>
  </sheetData>
  <mergeCells count="2">
    <mergeCell ref="A18:B21"/>
    <mergeCell ref="A1: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/>
  <cols>
    <col min="1" max="1" width="26" customWidth="1"/>
    <col min="2" max="2" width="52" customWidth="1"/>
    <col min="3" max="3" width="21" customWidth="1"/>
    <col min="4" max="4" width="20" customWidth="1"/>
    <col min="5" max="5" width="24" customWidth="1"/>
    <col min="6" max="6" width="18" customWidth="1"/>
    <col min="7" max="7" width="19" customWidth="1"/>
    <col min="8" max="14" width="18" customWidth="1"/>
    <col min="15" max="15" width="20" customWidth="1"/>
    <col min="16" max="19" width="18" customWidth="1"/>
  </cols>
  <sheetData>
    <row r="1" spans="1:19">
      <c r="A1" s="17" t="s">
        <v>184</v>
      </c>
      <c r="B1" s="17" t="s">
        <v>185</v>
      </c>
      <c r="C1" s="17" t="s">
        <v>186</v>
      </c>
      <c r="D1" s="17" t="s">
        <v>187</v>
      </c>
      <c r="E1" s="17" t="s">
        <v>188</v>
      </c>
      <c r="F1" s="17" t="s">
        <v>189</v>
      </c>
      <c r="G1" s="17" t="s">
        <v>190</v>
      </c>
      <c r="H1" s="17" t="s">
        <v>191</v>
      </c>
      <c r="I1" s="17" t="s">
        <v>49</v>
      </c>
      <c r="J1" s="17" t="s">
        <v>67</v>
      </c>
      <c r="K1" s="17" t="s">
        <v>192</v>
      </c>
      <c r="L1" s="17" t="s">
        <v>193</v>
      </c>
      <c r="M1" s="17" t="s">
        <v>194</v>
      </c>
      <c r="N1" s="17" t="s">
        <v>195</v>
      </c>
      <c r="O1" s="17" t="s">
        <v>196</v>
      </c>
      <c r="P1" s="17" t="s">
        <v>197</v>
      </c>
      <c r="Q1" s="17" t="s">
        <v>198</v>
      </c>
      <c r="R1" s="17" t="s">
        <v>199</v>
      </c>
      <c r="S1" s="17" t="s">
        <v>200</v>
      </c>
    </row>
    <row r="2" spans="1:19">
      <c r="A2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K2" t="s">
        <v>211</v>
      </c>
      <c r="L2" t="s">
        <v>212</v>
      </c>
      <c r="M2" t="s">
        <v>213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</row>
    <row r="3" spans="1:19">
      <c r="A3" t="s">
        <v>220</v>
      </c>
      <c r="B3" t="s">
        <v>221</v>
      </c>
      <c r="C3" t="s">
        <v>222</v>
      </c>
      <c r="D3" t="s">
        <v>223</v>
      </c>
      <c r="E3" t="s">
        <v>224</v>
      </c>
      <c r="F3" t="s">
        <v>40</v>
      </c>
      <c r="G3" t="s">
        <v>225</v>
      </c>
      <c r="H3" t="s">
        <v>226</v>
      </c>
      <c r="I3" t="s">
        <v>227</v>
      </c>
      <c r="J3" t="s">
        <v>228</v>
      </c>
      <c r="K3" t="s">
        <v>229</v>
      </c>
      <c r="L3" t="s">
        <v>230</v>
      </c>
      <c r="M3" t="s">
        <v>231</v>
      </c>
      <c r="N3" t="s">
        <v>232</v>
      </c>
      <c r="O3" t="s">
        <v>233</v>
      </c>
      <c r="P3" t="s">
        <v>234</v>
      </c>
      <c r="Q3" t="s">
        <v>235</v>
      </c>
      <c r="R3" t="s">
        <v>236</v>
      </c>
      <c r="S3" t="s">
        <v>237</v>
      </c>
    </row>
    <row r="4" spans="1:19">
      <c r="A4" t="s">
        <v>238</v>
      </c>
      <c r="B4" t="s">
        <v>239</v>
      </c>
      <c r="C4" t="s">
        <v>240</v>
      </c>
      <c r="D4" t="s">
        <v>241</v>
      </c>
      <c r="E4" t="s">
        <v>242</v>
      </c>
      <c r="G4" t="s">
        <v>243</v>
      </c>
      <c r="H4" t="s">
        <v>244</v>
      </c>
      <c r="I4" t="s">
        <v>245</v>
      </c>
      <c r="J4" t="s">
        <v>246</v>
      </c>
      <c r="K4" t="s">
        <v>247</v>
      </c>
      <c r="L4" t="s">
        <v>248</v>
      </c>
      <c r="M4" t="s">
        <v>249</v>
      </c>
      <c r="N4" t="s">
        <v>250</v>
      </c>
      <c r="O4" t="s">
        <v>251</v>
      </c>
      <c r="P4" t="s">
        <v>252</v>
      </c>
      <c r="Q4" t="s">
        <v>253</v>
      </c>
      <c r="R4" t="s">
        <v>254</v>
      </c>
      <c r="S4" t="s">
        <v>255</v>
      </c>
    </row>
    <row r="5" spans="1:19">
      <c r="A5" t="s">
        <v>256</v>
      </c>
      <c r="B5" t="s">
        <v>257</v>
      </c>
      <c r="C5" t="s">
        <v>258</v>
      </c>
      <c r="D5" t="s">
        <v>259</v>
      </c>
      <c r="E5" t="s">
        <v>256</v>
      </c>
      <c r="G5" t="s">
        <v>260</v>
      </c>
      <c r="I5" t="s">
        <v>261</v>
      </c>
      <c r="J5" t="s">
        <v>262</v>
      </c>
      <c r="K5" t="s">
        <v>263</v>
      </c>
      <c r="L5" t="s">
        <v>264</v>
      </c>
      <c r="M5" t="s">
        <v>265</v>
      </c>
      <c r="N5" t="s">
        <v>266</v>
      </c>
      <c r="O5" t="s">
        <v>267</v>
      </c>
      <c r="P5" t="s">
        <v>268</v>
      </c>
      <c r="Q5" t="s">
        <v>269</v>
      </c>
      <c r="R5" t="s">
        <v>270</v>
      </c>
      <c r="S5" t="s">
        <v>271</v>
      </c>
    </row>
    <row r="6" spans="1:19">
      <c r="B6" t="s">
        <v>272</v>
      </c>
      <c r="D6" t="s">
        <v>273</v>
      </c>
      <c r="G6" t="s">
        <v>274</v>
      </c>
      <c r="I6" t="s">
        <v>275</v>
      </c>
      <c r="N6" t="s">
        <v>276</v>
      </c>
      <c r="O6" t="s">
        <v>277</v>
      </c>
      <c r="R6" t="s">
        <v>278</v>
      </c>
      <c r="S6" t="s">
        <v>279</v>
      </c>
    </row>
    <row r="7" spans="1:19">
      <c r="B7" t="s">
        <v>280</v>
      </c>
      <c r="D7" t="s">
        <v>281</v>
      </c>
      <c r="G7" t="s">
        <v>282</v>
      </c>
      <c r="I7" t="s">
        <v>283</v>
      </c>
      <c r="N7" t="s">
        <v>284</v>
      </c>
      <c r="O7" t="s">
        <v>285</v>
      </c>
      <c r="R7" t="s">
        <v>286</v>
      </c>
      <c r="S7" t="s">
        <v>287</v>
      </c>
    </row>
    <row r="8" spans="1:19">
      <c r="B8" t="s">
        <v>288</v>
      </c>
      <c r="D8" t="s">
        <v>289</v>
      </c>
      <c r="I8" t="s">
        <v>290</v>
      </c>
      <c r="O8" t="s">
        <v>291</v>
      </c>
      <c r="R8" t="s">
        <v>292</v>
      </c>
      <c r="S8" t="s">
        <v>293</v>
      </c>
    </row>
    <row r="9" spans="1:19">
      <c r="B9" t="s">
        <v>294</v>
      </c>
      <c r="D9" t="s">
        <v>295</v>
      </c>
      <c r="I9" t="s">
        <v>296</v>
      </c>
      <c r="O9" t="s">
        <v>297</v>
      </c>
      <c r="R9" t="s">
        <v>298</v>
      </c>
      <c r="S9" t="s">
        <v>297</v>
      </c>
    </row>
    <row r="10" spans="1:19">
      <c r="B10" t="s">
        <v>299</v>
      </c>
      <c r="D10" t="s">
        <v>300</v>
      </c>
      <c r="I10" t="s">
        <v>301</v>
      </c>
      <c r="S10" t="s">
        <v>302</v>
      </c>
    </row>
    <row r="11" spans="1:19">
      <c r="B11" t="s">
        <v>303</v>
      </c>
      <c r="D11" t="s">
        <v>256</v>
      </c>
      <c r="I11" t="s">
        <v>304</v>
      </c>
    </row>
    <row r="12" spans="1:19">
      <c r="B12" t="s">
        <v>305</v>
      </c>
      <c r="I12" t="s">
        <v>306</v>
      </c>
    </row>
    <row r="13" spans="1:19">
      <c r="B13" t="s">
        <v>307</v>
      </c>
    </row>
    <row r="14" spans="1:19">
      <c r="B14" t="s">
        <v>308</v>
      </c>
    </row>
    <row r="17" spans="1:1">
      <c r="A17" s="18" t="s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Specification</vt:lpstr>
      <vt:lpstr>Link Budget</vt:lpstr>
      <vt:lpstr>Lists</vt:lpstr>
      <vt:lpstr>Specification!Impression_des_titres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Hakim</cp:lastModifiedBy>
  <dcterms:created xsi:type="dcterms:W3CDTF">2026-10-14T04:46:37Z</dcterms:created>
  <dcterms:modified xsi:type="dcterms:W3CDTF">2026-10-14T04:51:08Z</dcterms:modified>
</cp:coreProperties>
</file>